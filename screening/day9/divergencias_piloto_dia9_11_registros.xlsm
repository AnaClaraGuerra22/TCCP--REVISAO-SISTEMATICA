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vnd.openxmlformats-officedocument.spreadsheetml.sharedStrings+xml" PartName="/xl/sharedStrings.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RESOLVER_11" sheetId="1" r:id="rId4"/>
    <sheet state="visible" name="RESUMOS_EVIDENCIAS" sheetId="2" r:id="rId5"/>
    <sheet state="visible" name="GUIA_E_FONTES" sheetId="3" r:id="rId6"/>
  </sheets>
  <definedNames/>
  <calcPr/>
  <extLst>
    <ext uri="GoogleSheetsCustomDataVersion2">
      <go:sheetsCustomData xmlns:go="http://customooxmlschemas.google.com/" r:id="rId7" roundtripDataChecksum="Imiq3WWDyE7Is1Nmxe3NxdfLsZVaVzlkCyHSoBHaPRM="/>
    </ext>
  </extLst>
</workbook>
</file>

<file path=xl/sharedStrings.xml><?xml version="1.0" encoding="utf-8"?>
<sst xmlns="http://schemas.openxmlformats.org/spreadsheetml/2006/main" count="323" uniqueCount="206">
  <si>
    <t>GUIA RÁPIDO  |  DIA 9</t>
  </si>
  <si>
    <t>PASSO</t>
  </si>
  <si>
    <t>AÇÃO</t>
  </si>
  <si>
    <t>1 — Ler sem pressa</t>
  </si>
  <si>
    <t>Abra RESUMOS_EVIDENCIAS e confira o resumo original do R0... antes de julgar. Concentre-se na evidência do protocolo v1.0.</t>
  </si>
  <si>
    <t>2 — Comparar</t>
  </si>
  <si>
    <t>Na RESOLVER_11, D/E são decisões do piloto; F/G são sugestões Qwen; J/L são parecer auxiliar deste ChatGPT. Nenhuma dessas colunas é uma nova decisão humana.</t>
  </si>
  <si>
    <t>3 — Decidir</t>
  </si>
  <si>
    <t>Preencha M: include / maybe / exclude. Preencha N apenas se for exclude (CE1–CE7). Evite excluir somente por ausência de detalhes, quando ainda houver dúvida plausível.</t>
  </si>
  <si>
    <t>4 — Justificar</t>
  </si>
  <si>
    <t>Em O, escreva 1–3 frases em português citando evidências do próprio resumo e o critério pertinente. Para maybe, especifique o que verificar no texto completo.</t>
  </si>
  <si>
    <t>5 — Documentar</t>
  </si>
  <si>
    <t>Preencha o revisor e a data real em P/Q. A coluna R indica 'RESOLVIDO' somente após todos os campos necessários.</t>
  </si>
  <si>
    <t>6 — Preservar histórico</t>
  </si>
  <si>
    <t>Não sobrescreva as decisões antigas nem a saída original do Qwen. Ao encerrar, transfira somente as resoluções humanas para decision_log.csv e registre a alteração em screening/day9/resolucao_divergencias.md.</t>
  </si>
  <si>
    <t>ORIGEM DOS DADOS  |  PROVENIÊNCIA</t>
  </si>
  <si>
    <t>Classificações do piloto</t>
  </si>
  <si>
    <t>pilot_30_google_planilhas(1).xlsx — TRIAGEM; colunas B:G e resumos da coluna D</t>
  </si>
  <si>
    <t>Sugestões e evidências Qwen</t>
  </si>
  <si>
    <t>comparacao_piloto_30_qwen_google_planilhas.xlsx — COMPARACAO_30 e REVISAR_11</t>
  </si>
  <si>
    <t>Parecer auxiliar</t>
  </si>
  <si>
    <t>Reanálise desta sessão, com base exclusivamente nos abstracts registrados; não é resolução humana</t>
  </si>
  <si>
    <t>Protocolo aplicável</t>
  </si>
  <si>
    <t>protocol/protocol_v1.0.md — critérios CI/CE vigentes</t>
  </si>
  <si>
    <t>Local de arquivamento</t>
  </si>
  <si>
    <t>screening/day9/divergencias_piloto_dia9_11_registros.xlsx</t>
  </si>
  <si>
    <t>Log oficial</t>
  </si>
  <si>
    <t>screening/decision_log.csv — atualizar somente após confirmação e documentar o histórico</t>
  </si>
  <si>
    <t>REGRA DE OURO: sugestões Qwen ou ChatGPT não contam como revisão humana independente. Se a revisão assistida for usada, declare-a no método.</t>
  </si>
  <si>
    <t>FONTES PRIMÁRIAS DA TRIAGEM  |  11 RESUMOS E EVIDÊNCIAS</t>
  </si>
  <si>
    <t>DIA 9  |  RESOLUÇÃO DAS 11 DIVERGÊNCIAS DO PILOTO</t>
  </si>
  <si>
    <t>Textos copiados dos arquivos do piloto e da comparação; evidências Qwen são alegações do modelo, não resultados verificados independentemente.</t>
  </si>
  <si>
    <t>ID</t>
  </si>
  <si>
    <t>Histórico preservado  •  Parecer da IA é apenas apoio  •  Preencher M–Q após reavaliar o resumo e confirmar a decisão humana</t>
  </si>
  <si>
    <t>ARTIGOS</t>
  </si>
  <si>
    <t>TÍTULO</t>
  </si>
  <si>
    <t>ABSTRACT ORIGINAL</t>
  </si>
  <si>
    <t>JUSTIFICATIVA REGISTRADA NO PILOTO</t>
  </si>
  <si>
    <t>RESOLVIDOS</t>
  </si>
  <si>
    <t>EVIDÊNCIA QWEN: AMBIENTAL</t>
  </si>
  <si>
    <t>EVIDÊNCIA QWEN: RAG</t>
  </si>
  <si>
    <t>EVIDÊNCIA QWEN: AVALIAÇÃO</t>
  </si>
  <si>
    <t>TIPO DOCUMENTO</t>
  </si>
  <si>
    <t>PALAVRAS-CHAVE</t>
  </si>
  <si>
    <t>TERMOS INDEXADOS</t>
  </si>
  <si>
    <t>R0403</t>
  </si>
  <si>
    <t>Development of an AI-Assisted LoRa-Based Monitoring and Control System with RAG-Enabled Chatbot for Sacha Inchi Cultivation</t>
  </si>
  <si>
    <t>PENDENTES</t>
  </si>
  <si>
    <t>The cultivation of Sacha Inchi, a crop of high economic and nutritional value due to its rich omega-3, 6, and 9 content, requires precise environmental conditions that are difficult to manage manually, often leading to resource inefficiency and suboptimal yields. This paper presents the design and implementation of an AI-assisted, LoRa-based Internet of Things (IoT) system for the real-time monitoring and control of Sacha Inchi cultivation. The system implements a multi-tier architecture comprising distributed ESP32 sensor nodes, a Raspberry Pi edge gateway with a store-and-forward mechanism for data resilience, and a cloud-based backend for data aggregation. A web application developed with Next.js provides a comprehensive dashboard for data visualization and remote control of irrigation and fertilization. A key innovation is the integration of a Retrieval-Augmented Generation (RAG) enabled chatbot, which queries a knowledge base of project documentation and historical sensor data. This allows users to perform complex analytical queries (e.g., identifying sites with downward soil moisture trends despite recent irrigation) through a natural language interface, a significant improvement over standard chatbots. Testing results demonstrate the system's high responsiveness, with an average control command latency of 1.4 seconds, and the functional reliability of the user interface. The AI agent achieved a 90% success rate in handling complex queries, demonstrating its effectiveness. This work presents a robust and scalable platform, laying the groundwork for optimized resource management and enhanced productivity in precision agriculture. © 2025 IEEE.</t>
  </si>
  <si>
    <t>Aplicação RAG voltada ao monitoramento e controle operacional do cultivo agrícola, com foco na produtividade e no desempenho do sistema. Embora envolva irrigação e gestão de recursos, o resumo não apresenta finalidade ambiental ou de sustentabilidade substantiva, conforme o critério CE2.</t>
  </si>
  <si>
    <t>The study addresses precision agriculture for Sacha Inchi cultivation, which involves climate adaptation, resource efficiency, and sustainable irrigation practices.</t>
  </si>
  <si>
    <t>The system integrates a RAG-enabled chatbot that queries a knowledge base of project documentation and historical sensor data to perform complex analytical queries.</t>
  </si>
  <si>
    <t>LEGENDA: Piloto = classificação registrada antes da comparação  |  Qwen = sugestão do modelo  |  Parecer IA = reanálise auxiliar  |  M–Q = decisão e registro humano final</t>
  </si>
  <si>
    <t>Testing results demonstrate the system's high responsiveness with an average control command latency of 1.4 seconds and a 90% success rate in handling complex queries.</t>
  </si>
  <si>
    <t>Conference paper</t>
  </si>
  <si>
    <t>Conversational AI; Edge Computing; Internet of Things; LoRa; Precision Agriculture; Retrieval-Augmented Generation</t>
  </si>
  <si>
    <t>AMARELO = campos de preenchimento humano    •    CE final somente quando 'exclude'    •    Nos casos 'maybe', registrar a dúvida para o texto completo</t>
  </si>
  <si>
    <t>Chatbots; Cultivation; Data visualization; Edge computing; Irrigation; Knowledge based systems; Precision agriculture; Query processing; Remote control; User interfaces; Chatbots; Conversational AI; Economic values; Edge computing; Lora; Monitoring and control systems; Nutritional value; Omega-3; Precision Agriculture; Retrieval-augmented generation; Internet of things</t>
  </si>
  <si>
    <t>R0144</t>
  </si>
  <si>
    <t>ORDEM</t>
  </si>
  <si>
    <t>Generative AI Application in Power System Asset Management</t>
  </si>
  <si>
    <t>As the global efforts to address climate change goals advance, the demand for renewable energy grows, and governments around the world actively promote low-carbon economies and green energy policies, the power system is undergoing profound changes. This transformation not only affects the mode of power production but also profoundly alters the way, focus, and technical means of power equipment asset management. The diversification of equipment types has increased management complexity, as new types of equipment such as photovoltaic inverters, wind turbine blades, and energy storage systems require specialized maintenance knowledge and technologies. To enhance the reliability and safety of power equipment, and reduce maintenance costs, this paper aims to explore the integration path of generative AI technology and the knowledge base of power equipment asset management, establish a knowledge base for the life cycle of asset equipment, adopt emerging generative AI information technology, and build an intelligent power asset equipment management question-answer platform to achieve intelligent management of various assets, thereby reducing unplanned downtime and improving the stability of power grid operation. Firstly, establish a knowledge base for power equipment management and combine it with the retrieval-augmented generation technology of generative AI to enable it to understand and generate professional knowledge and technical guidance related to power equipment. Then, deploy the application on a cloud platform and create an interactive intelligent assistant that can analyze emerging problems in real time and provide targeted solution suggestions. At the same time, it enables front-line technicians to quickly obtain effective help and support even when facing complex situations, they have never encountered before.  © 2025 IEEE.</t>
  </si>
  <si>
    <t>- Estudo que propõe uma aplicação de RAG para gestão de ativos e manutenção de equipamentos do sistema elétrico, com foco na confiabilidade operacional, redução de custos e estabilidade da rede. Embora mencione energias renováveis e políticas de descarbonização, esses elementos aparecem como contextualização, sem demonstrar uma finalidade ambiental ou de sustentabilidade substantiva na aplicação RAG. Portanto, enquadra-se no critério CE2.</t>
  </si>
  <si>
    <t>The abstract mentions climate change goals and green energy policies but does not specify substantive environmental issues like emissions or climate adaptation</t>
  </si>
  <si>
    <t>The study explicitly uses retrieval-augmented generation technology to enable understanding and generation of professional knowledge</t>
  </si>
  <si>
    <t>TÍTULO DO ARTIGO</t>
  </si>
  <si>
    <t>The abstract describes a proposed integration path and application but does not report specific empirical evaluation results</t>
  </si>
  <si>
    <t>DECISÃO PILOTO</t>
  </si>
  <si>
    <t>Asset equipment maintenance; Generative AI; intelligent assistant; retrieval-augmented generation</t>
  </si>
  <si>
    <t>CE PILOTO</t>
  </si>
  <si>
    <t>Economics; Electric inverters; Electric power system stability; Knowledge based systems; Knowledge management; Life cycle; Maintenance; Smart power grids; AI applications; Asset equipment maintenance; Assets management; Equipment maintenance; Equipment management; Generative AI; Intelligent assistants; Power equipment; Power system assets; Retrieval-augmented generation; Asset management</t>
  </si>
  <si>
    <t>SUGESTÃO QWEN</t>
  </si>
  <si>
    <t>R0316</t>
  </si>
  <si>
    <t>RAG-Semantic Integration for Adaptive Multiagent Underwater Autonomy</t>
  </si>
  <si>
    <t>CE QWEN</t>
  </si>
  <si>
    <t>Robotic platforms have become essential for marine operations by providing regular and continuous access to offshore assets, such as underwater infrastructure inspection, environmental monitoring, and resource exploration. However, the complex and dynamic nature of underwater environments, characterized by limited visibility, unpredictable currents, and communication constraints, presents significant challenges that demand advanced autonomy while ensuring operator trust and oversight. Central to addressing these challenges are knowledge representation and reasoning techniques, particularly knowledge graphs (KGs) and retrieval-augmented generation (RAG) systems, that enable robots to efficiently structure, retrieve, and interpret complex environmental data. These capabilities empower robotic agents to reason, adapt, and respond effectively to changing conditions. The primary goal of this work is to demonstrate both multiagent autonomy and shared autonomy, where multiple robotic agents operate independently while remaining connected to a human supervisor. We show how a RAG-powered large language model (LLM), augmented with KG data and domain taxonomy, enables autonomous multiagent decision-making and facilitates seamless human-robot interaction, resulting in 100% mission validation and behavior completeness. Finally, ablation studies reveal that without structured knowledge from the graph and/or taxonomy, the LLM is prone to hallucinations, which can compromise decision quality. © 1976-2012 IEEE.</t>
  </si>
  <si>
    <t>TIPO DIVERGÊNCIA</t>
  </si>
  <si>
    <t>Estudo primário com aplicação de RAG e avaliação empírica, porém voltado à autonomia de sistemas robóticos subaquáticos, coordenação multiagente e interação humano-robô. Embora mencione monitoramento ambiental marinho, essa aplicação aparece apenas como contexto, sem demonstrar finalidade ambiental ou de sustentabilidade substantiva nos objetivos ou na avaliação do sistema. Portanto, enquadra-se no critério CE2.</t>
  </si>
  <si>
    <t>O QUE CONFERIR</t>
  </si>
  <si>
    <t>Underwater environments and marine operations</t>
  </si>
  <si>
    <t>RAG-powered LLM augmented with KG data and domain taxonomy</t>
  </si>
  <si>
    <t>Ablation studies reveal LLM hallucinations without structured knowledge</t>
  </si>
  <si>
    <t>Article</t>
  </si>
  <si>
    <t>PARECER IA</t>
  </si>
  <si>
    <t>Autonomous underwater vehicles (AUVs); decision-making; multirobot systems; retrieval-augmented generation (RAG); shared autonomy</t>
  </si>
  <si>
    <t>CE PARECER IA</t>
  </si>
  <si>
    <t>Autonomous agents; Autonomous underwater vehicles; Graph structures; Human robot interaction; Industrial robots; Knowledge graph; Multi agent systems; Multipurpose robots; Offshore oil well production; Offshore petroleum prospecting; Autonomous underwater vehicle; Autonomous underwater vehicles]; Decisions makings; Knowledge graphs; Language model; Multi-robot systems; Retrieval-augmented generation; Robotic agents; Semantic integration; Shared autonomy; Decision making</t>
  </si>
  <si>
    <t>JUSTIFICATIVA DO PARECER IA</t>
  </si>
  <si>
    <t>R0085</t>
  </si>
  <si>
    <t>DECISÃO FINAL HUMANA</t>
  </si>
  <si>
    <t>FarmerLikeMe: A Framework for Goal and Risk-Aware Agricultural Decision Support</t>
  </si>
  <si>
    <t>CE FINAL</t>
  </si>
  <si>
    <t>Agricultural decision-making involves complex interdependencies between goals, risks, resources, and environmental factors. Traditional support systems often lack the contextual awareness and adaptability needed to assist farmers in navigating dynamic conditions. This paper introduces FarmerLikeMe, a novel framework to support goal- and risk-aware decision-making in agriculture. FarmerLikeMe combines three key components: (i) a goal-oriented model using the i* model and RiskML to explicitly capture learning experiences (LE) as farming intentions, farm operations, environmental data, agronomic practices, and ecological risks; thereby enabling farmers to interact through a controlled interface; (ii) a causal knowledge graph, which serves as a collective knowledge base used to seek and share LE of farming practices, fostering experience sharing and collective responses to climate challenges; and (iii) An explaining module leveraging LLM-enhanced knowledge graphs and Graph-based Retrieval-Augmented Generation (Graph RAG) to produce decisions that align with individual farmer goals while accounting for potential risks such as climate variability, crop diseases, and resource constraints. A mobile proof-of-concept shows real-world applicability, bridging knowledge representation, and natural language interaction to support intelligent, explainable, and sustainable farming. © The Author(s), under exclusive license to Springer Nature Switzerland AG 2026.</t>
  </si>
  <si>
    <t>- studo primário que utiliza GraphRAG para apoiar decisões agrícolas, considerando variabilidade climática, riscos ecológicos e gestão sustentável de recursos, com dimensão ambiental substantiva. Entretanto, embora apresente um protótipo funcional para dispositivos móveis, o resumo não esclarece se foi realizada uma avaliação empírica do sistema. Recomenda-se verificar o texto completo para confirmar o atendimento ao critério de avaliação empírica (CE4).</t>
  </si>
  <si>
    <t>JUSTIFICATIVA FINAL HUMANA</t>
  </si>
  <si>
    <t>Addresses climate challenges and ecological risks in agricultural decision-making</t>
  </si>
  <si>
    <t>Uses Graph-based Retrieval-Augmented Generation (Graph RAG) to produce decisions</t>
  </si>
  <si>
    <t>REVISOR</t>
  </si>
  <si>
    <t>Mobile proof-of-concept demonstrates real-world applicability</t>
  </si>
  <si>
    <t>DATA DA DECISÃO</t>
  </si>
  <si>
    <t>Agricultural Decision Support; Causal Knowledge Graphs; Goal-aware Explanations; Graph RAG; Risk Modeling</t>
  </si>
  <si>
    <t>STATUS</t>
  </si>
  <si>
    <t>Behavioral research; Decision making; Ecology; Graphic methods; Knowledge based systems; Knowledge management; Risk assessment; Risk management; Agricultural decision support; Causal knowledge graph; Decisions makings; Goal-aware explanation; Graph-based; Graph-based retrieval-augmented generation; Knowledge graphs; Learning experiences; Risk aware; Risk modeling; Decision support systems</t>
  </si>
  <si>
    <t>R0360</t>
  </si>
  <si>
    <t>Plant Care System Using Convolutional Neural Network (CNN) and Large Language Models (LLM)</t>
  </si>
  <si>
    <t>Plant diseases cause significant loss to both farmers and gardeners, due to various climate change factors like shifts in weather patterns which make them susceptible to various diseases and also lack of reliable tools and resources to identify diseases effectively. Another important factor is fragmented knowledge, due to which getting proper guidance becomes very tedious. Therefore, the proposed plant care system is a solution to these as the first module of it which deals with plant disease detection makes use of convolutional neural networks (CNN) which detects plant disease using the leaf images and the second module which consist of RAG and LLM based chatbot provides user guidance as to cure of such diseases and also measures as to how to prevent them. The CNN based plant disease detection model process and analyses leaf images such that the accuracy increases with training and in order to prevent overfitting, early stopping was practiced which stops training when validation accuracy no longer shows any improvement. This approach results in a training accuracy of 95% and a validation accuracy of 92%, ensuring reliable and effective identification of various plant diseases. Complementing this, the second module the chatbot, powered by LLAMA-2 and an efficient retrieval mechanism using chunking, embeddings, and FAISS, provides fast, accurate, and context-aware responses. Integrated into a plant care system, it can answer user queries about plant diseases, care instructions, and maintenance tips with natural, conversational interactions while easily updating its knowledge base to include new plant-related information. © The Author(s), under exclusive license to Springer Nature Singapore Pte Ltd. 2025.</t>
  </si>
  <si>
    <t>Estudo que integra CNN e RAG para diagnóstico de doenças em plantas e fornecimento de orientações sobre tratamento e cuidados. Embora mencione mudanças climáticas como fator associado às doenças, o foco da aplicação está no diagnóstico fitossanitário e no manejo agrícola, sem demonstrar finalidade ambiental ou de sustentabilidade substantiva. Portanto, enquadra-se no critério CE2.</t>
  </si>
  <si>
    <t>Mentions climate change as a factor but does not specify substantive environmental connection</t>
  </si>
  <si>
    <t>exclude</t>
  </si>
  <si>
    <t>RAG uses chunking, embeddings, and FAISS for retrieval with LLAMA-2</t>
  </si>
  <si>
    <t>Reports training accuracy of 95% and validation accuracy of 92%</t>
  </si>
  <si>
    <t>CE2</t>
  </si>
  <si>
    <t>include</t>
  </si>
  <si>
    <t>Convolutional neural network (CNN); Large language model (LLM); LLAMA-2; Training frequency; Validation frequency; Word embeddings</t>
  </si>
  <si>
    <t>Climate change; Convolutional neural networks; Embeddings; Knowledge based systems; Plant diseases; Plants (botany); Convolutional neural network; Embeddings; Language model; Large language model; LLAMA-2; Plant disease; Training frequency; Validation frequency; Word embedding; Convolution</t>
  </si>
  <si>
    <t>R0263</t>
  </si>
  <si>
    <t>DIVERGÊNCIA NA DECISÃO</t>
  </si>
  <si>
    <t>LLM-Based Telemetry Repair and Fault Detection in V2X Networks with Digital Twin Guidance</t>
  </si>
  <si>
    <t>In vehicle-to-everything (V2X) networks, real-time telemetry is essential for enabling predictive analytics and fault detection in intelligent transportation systems. However, frequent wireless disruptions due to interference, mobility, and congestion lead to telemetry gaps that degrade downstream decision-making. To address this challenge, we propose a framework that enhances wireless telemetry robustness using large language models (LLMs) guided by digital twin-based context. Our system combines retrieval-augmented generation with environmental priors to recover high-dimensional, time-correlated telemetry streams lost during communication outages. We also integrate federated continual learning to maintain fault classification performance across non-i.i.d. V2X conditions without centralized data exchange. Extensive evaluations on real-world driving datasets with simulated wireless impairments show that our method significantly improves reconstruction fidelity, reduces degradation from multi-step gaps, and sustains long-term classifier stability. This work demonstrates how AI-driven semantic recovery mechanisms can improve the functional reliability of wireless V2X telemetry under dynamic and lossy network conditions. © 2025 IEEE.</t>
  </si>
  <si>
    <t>CE2 — cultivo agrícola, eficiência de recursos e finalidade ambiental substantiva</t>
  </si>
  <si>
    <t>Estudo primário com aplicação de RAG e avaliação empírica, porém voltado à recuperação de dados de telemetria, detecção de falhas e confiabilidade das comunicações em redes V2X. O termo environmental priors refere-se às condições contextuais e operacionais do sistema, sem demonstrar finalidade ambiental, climática ou de sustentabilidade substantiva. Portanto, enquadra-se no critério CE2.</t>
  </si>
  <si>
    <t>Mentions V2X networks and wireless telemetry but lacks explicit environmental focus</t>
  </si>
  <si>
    <t>System combines retrieval-augmented generation with environmental priors</t>
  </si>
  <si>
    <t>Extensive evaluations on real-world driving datasets with simulated wireless impairments</t>
  </si>
  <si>
    <t>A avaliação mede latência e sucesso de consultas do chatbot. Irrigação e eficiência de recursos aparecem na operação agrícola; não há demonstração específica de conservação de água, redução de fertilizantes ou impacto ecológico.</t>
  </si>
  <si>
    <t>Computer system recovery; Decision making; Digital twin; Electronic data interchange; Fault detection; Intelligent vehicle highway systems; Semantics; Telemetering; Telemetering equipment; Traffic congestion; Decisions makings; Down-stream; Faults detection; High-dimensional; Higher-dimensional; Intelligent transportation systems; Language model; Model-based OPC; Real- time; Wireless telemetry; Predictive analytics</t>
  </si>
  <si>
    <t>R0225</t>
  </si>
  <si>
    <t>PEZEGO: A Precision Agriculture System Based on Large Language Models and Internet of Things for Pest Management</t>
  </si>
  <si>
    <t>Pests significantly threaten global agricultural production, which causes severe yield losses through feeding and virus transmission. To mitigate yield losses caused by pests, timely and precise pest management practices are critical. Although previous efforts have advanced automated solutions for real-time environmental monitoring in agriculture, implementing precise pest management decision-making and suggestion generation remains a challenge due to complex reasoning processes in practice. In response, an enhanced pest management system, PEZEGO, is proposed to provide precise management suggestions through multi-modal environmental data, a fine-tuned open vocabulary detector (OVD), and large language models (LLMs). Specifically, a mobile application and low-cost IoT devices are developed to capture images and environmental information. A hybrid convolutional low-rank adaptation method (HCLoRA) is proposed to fine-tune pre-trained OVDs, enabling zero-shot pest detection for converting images to pest species and quantity information. In addition, a structured data-based retrieval augmented generation workflow for LLMs is proposed to provide precise pest management suggestions through automatically extracted agriculture management knowledge and chain-of-thought. The effectiveness of PEZEGO is validated in a case study of pest management in the UK, including pest detection in field scenarios and management suggestion generation. Compared to advanced model fine-tuning methods, HCLoRA for YOLOWorld achieves the highest detection performance with 0.1759 APh on pest detection. Additionally, the proposed structured data-based retrieval augmented generation workflow demonstrates the ability to support pest management with a 68.7% average F1 score for knowledge extraction and 77.33% accuracy for suggestion generation. Eventually, a mobile application demonstrates the practical effectiveness of the proposed system. © 2014 IEEE.</t>
  </si>
  <si>
    <t>Estudo primário com aplicação explícita de RAG e avaliação empírica, porém voltado ao monitoramento e controle de pragas agrícolas, com foco na precisão das recomendações e na redução de perdas de produtividade. Embora utilize dados ambientais coletados por sensores IoT, o resumo não demonstra finalidade ambiental ou de sustentabilidade substantiva, como redução de pesticidas, conservação de recursos ou mitigação de impactos ecológicos. Portanto, enquadra-se no critério CE2.</t>
  </si>
  <si>
    <t>Addresses pest management in agriculture which impacts crop yield and food security</t>
  </si>
  <si>
    <t>Estudo primário com implementação explícita de RAG e avaliação empírica em um sistema IoT para monitoramento e controle do cultivo de Sacha Inchi. Embora utilize sensores de umidade do solo e permita controlar irrigação e fertilização, o objetivo principal está na eficiência operacional e produtividade agrícola. O resumo não demonstra finalidade ambiental substantiva, como conservação hídrica, redução do uso de fertilizantes ou mitigação de impactos ecológicos. Portanto, enquadra-se no critério CE2, conforme o protocolo v1.0.</t>
  </si>
  <si>
    <t>Structured data-based retrieval augmented generation workflow for LLMs is proposed to provide pest management suggestions</t>
  </si>
  <si>
    <t>Case study validation in UK with quantitative metrics including 0.1759 APh on pest detection and 68.7% average F1 score for knowledge extraction</t>
  </si>
  <si>
    <t>Ana Clara</t>
  </si>
  <si>
    <t>Internet of Things; Large language model; Pest management; Precision agriculture; Retrieval augmented generation</t>
  </si>
  <si>
    <t>Binary alloys; Data mining; Decision making; Environmental management; Knowledge management; Pest control; Pesticides; Potassium alloys; Adaptation methods; Language model; Large language model; Mobile applications; Pest management; Precision Agriculture; Retrieval augmented generation; Structured data; Work-flows; Yield loss; Precision agriculture</t>
  </si>
  <si>
    <t>R0105</t>
  </si>
  <si>
    <t>Project Prithvi: A Multi-Agent System for Geospatial Intelligence and Monsoon Impact Assessment</t>
  </si>
  <si>
    <t>Project Prithvi is a cloud-native multi-agent system intended to provide detailed exploratory insights from the Indian monsoon. We address the problem of fragmented environmental data by integrating complex, multi-modal satellite observations into actionable information for monitoring, agriculture and disaster planning. The system contains a Monsoon Health Index (MHI), which is a statistically transparent metric combining non-linear magnitude score based on ECDF-driven percentile transformation with objective weighting produced through Principal Component Analysis. The system merges precipitation data with soil moisture readings and vegetation health indicators into a single measurable value. It includes a user-interface agent using Retrieval-Augmented Generation (RAG) combined with Tree-of-Thought (ToT) reasoning to execute specialized analytics along with context-retrieval agents. This architecture enables users to explore causal relationships, visualize geospatial forecasts and resolve discrepancies between quantitative satellite signals and qualitative ground reports through an accessible conversational interface. Prithvi allows monsoon monitoring to be a collaborative human-AI interpretation process, by integrating transparent statistical modeling with a multi-agent framework. © The Author(s), under exclusive license to Springer Nature Switzerland AG 2026.</t>
  </si>
  <si>
    <t>- Estudo com aplicação explícita de RAG no domínio ambiental e climático, voltado ao monitoramento de monções, análise de dados geoespaciais e apoio ao planejamento de desastres. Entretanto, embora apresente uma arquitetura multiagente e um índice para avaliação das condições climáticas, o resumo não descreve resultados experimentais ou validação empírica do sistema. Recomenda-se verificar o texto completo para confirmar o atendimento ao critério CE4.</t>
  </si>
  <si>
    <t>Addresses Indian monsoon impact assessment, which involves climate adaptation and disaster planning for environmental sustainability.</t>
  </si>
  <si>
    <t>The system uses Retrieval-Augmented Generation (RAG) combined with Tree-of-Thought reasoning for analytics and context-retrieval.</t>
  </si>
  <si>
    <t>The system provides actionable insights from satellite observations and integrates multi-modal data for monitoring and disaster planning.</t>
  </si>
  <si>
    <t>Agentic AI; Computational System; Explainable Artificial Intelligence; Geospatial analysis; Monsoon analysis; Multi-agent systems</t>
  </si>
  <si>
    <t>Atmospheric thermodynamics; Disaster prevention; Disasters; Information retrieval; Intelligent agents; Linear transformations; Precipitation (meteorology); Principal component analysis; Search engines; Soil moisture; User interfaces; Agentic AI; Computational system; Environmental data; Explainable artificial intelligence; Geo-spatial analysis; Geospatial intelligence; Impact assessments; Indian monsoon; Monsoon analyze; Multiagent systems (MASs); Multi agent systems</t>
  </si>
  <si>
    <t>R0069</t>
  </si>
  <si>
    <t>AI Agent for Smart Indoor Environment Management</t>
  </si>
  <si>
    <t>Current smart indoor environment management face challenges in integrating heterogeneous data and supporting interactive, occupant-centric control. Existing methods lack semantic interoperability and struggle to capture occupant preferences dynamically. This chapter presents an AI agent framework that leverages semantic modelling to unify multi-source building data and integrates a vector-graph-based Retrieval-Augmented Generation (V-G RAG) engine for querying domain knowledge. Large Language Models (LLMs) facilitate natural language interaction and preference interpretation. Experimental deployment in an operational office building demonstrates a significant improvement in query accuracy over baseline methods. The proposed framework enables scalable, interpretable, and adaptive indoor environment optimisation, advancing occupant-centric control in smart indoor environment management. © The Author(s), under exclusive license to Springer Nature Singapore Pte Ltd. 2026.</t>
  </si>
  <si>
    <t>Estudo primário com aplicação de RAG e avaliação empírica, porém voltado à automação e ao gerenciamento de ambientes internos de edifícios, com foco no conforto dos ocupantes, interpretação de preferências e precisão das consultas. Não apresenta finalidade ambiental ou de sustentabilidade substantiva, como redução do consumo energético ou de impactos ambientais. Portanto, enquadra-se no critério CE2.</t>
  </si>
  <si>
    <t>Mentions 'smart indoor environment management' and 'office buildings' but lacks explicit environmental context</t>
  </si>
  <si>
    <t>Uses vector-graph-based Retrieval-Augmented Generation (V-G RAG) engine</t>
  </si>
  <si>
    <t>Experimental deployment in an operational office building demonstrates improved query accuracy</t>
  </si>
  <si>
    <t>AI agent; RAG; Semantic model; Smart indoor environment</t>
  </si>
  <si>
    <t>Environmental management; Graphic methods; Intelligent agents; Interoperability; Knowledge management; Multi agent systems; Search engines; Semantics; 'current; AI agent; Environment management; Heterogeneous data; Indoor environment; Occupant preferences; RAG; Semantic interoperability; Semantic modelling; Smart indoor environment; Office buildings</t>
  </si>
  <si>
    <t>R0037</t>
  </si>
  <si>
    <t>SafeAuto: Knowledge-Enhanced Safe Autonomous Driving with Multimodal Foundation Models</t>
  </si>
  <si>
    <t>Traditional autonomous driving systems often struggle to connect high-level reasoning with lowlevel control, leading to suboptimal and sometimes unsafe behaviors. Recent advances in multimodal large language models (MLLMs), which process both visual and textual data, offer an opportunity to unify perception and reasoning. However, effectively embedding precise safety knowledge into MLLMs for autonomous driving remains a significant challenge. To address this, we propose SafeAuto, a framework that enhances MLLM-based autonomous driving by incorporating both unstructured and structured knowledge. First, we introduce a Position-Dependent CrossEntropy (PDCE) loss to improve low-level control signal predictions when values are represented as text. Second, to explicitly integrate safety knowledge, we develop a reasoning component that translates traffic rules into first-order logic (e.g., “red light =⇒ stop”) and embeds them into a probabilistic graphical model (e.g., Markov Logic Network) to verify predicted actions using recognized environmental attributes. Additionally, our Multimodal Retrieval-Augmented Generation (RAG) model leverages video, control signals, and environmental attributes to learn from past driving experiences. Integrating PDCE, MLN, and Multimodal RAG, SafeAuto outperforms existing baselines across multiple datasets, enabling more accurate, reliable, and safer autonomous driving. The code is available at https://github.com/AI-secure/SafeAuto. © 2025 by the author(s).</t>
  </si>
  <si>
    <t>Estudo primário com aplicação de RAG multimodal e avaliação empírica, porém voltado à segurança e ao controle de veículos autônomos. Os atributos ambientais mencionados referem-se às condições do ambiente de navegação, não ao meio ambiente. O estudo não apresenta objetivos relacionados à sustentabilidade ambiental, mitigação climática ou redução de impactos ecológicos, enquadrando-se no critério CE2.</t>
  </si>
  <si>
    <t>The study mentions 'environmental attributes' but does not explicitly address climate, decarbonisation, emissions, or environmental impact</t>
  </si>
  <si>
    <t>maybe</t>
  </si>
  <si>
    <t>Multimodal Retrieval-Augmented Generation (RAG) model leverages video, control signals, and environmental attributes to learn from past driving experiences</t>
  </si>
  <si>
    <t>SafeAuto outperforms existing baselines across multiple datasets</t>
  </si>
  <si>
    <t>CE2 — menção à transição energética versus foco operacional na manutenção</t>
  </si>
  <si>
    <t>Autonomous vehicles; Computational linguistics; Computer circuits; Knowledge management; Markov processes; Probabilistic logics; Signaling; Autonomous driving; Control signal; Cross entropy; Driving systems; Environmental attributes; Foundation models; Language model; Multi-modal; Position dependents; Safety knowledge; Visual languages</t>
  </si>
  <si>
    <t>R0280</t>
  </si>
  <si>
    <t>Semantic Routing: Fusing LLMs and Combinatorial Optimization Problems within the Generative Problem Solving (GPS) Domain</t>
  </si>
  <si>
    <t>A motivação menciona transição energética, mas a plataforma RAG responde dúvidas de técnicos e melhora a manutenção de equipamentos; não há análise de emissões, sustentabilidade energética ou impactos ecológicos.</t>
  </si>
  <si>
    <t>Combinatorial optimization and particularly Vehicle Routing Problems (VRPs), as well as trip or itinerary planning, remain a fundamental challenge in operations research. However, the advent of Large Language Models (LLMs) introduces a paradigm shift toward more adaptable, context-aware, and human-centric optimization frameworks. The study adopted a multidisciplinary literature review-driven approach to examine the intersection of LLMs and combinatorial optimization within the ambit of VRPs. The scope spans from professional practitioners using specialized optimization software to commuters and tourists navigating the built environment. The paper explores how LLMs may simultaneously strengthen underlying optimization processes and improve user interfaces — in particular by enhancing transparency, interactivity, and explainability. The study identified various opportunities for LLMs to enhance routing systems by, for example, enabling nuanced translation of (implicit) user input into personalized and context-aware route generation. The integration of Retrieval Augmented Generation (RAG) may enhance data fidelity and temporal relevance, while hybrid solver configuration and automated heuristic generation, as well as self-debugging mechanisms, are amongst the proposed application areas of LLMs. Advances in semantic routing may be especially pertinent for active travelers who rely on nuanced environmental attributes such as lighting, terrain, and perceived safety when selecting routes. Effectively capturing and incorporating such complex, multi-objective preferences into a route recommender system may support a broader adoption of sustainable, non-motorized modes of transport. © 2026 World Scientific Publishing Company.</t>
  </si>
  <si>
    <t>- Estudo exploratório baseado em revisão de literatura sobre LLMs e otimização de rotas. A integração de RAG é apresentada apenas como uma possibilidade futura, sem implementação de um sistema que integre recuperação externa de informações à geração de respostas. Portanto, não atende à definição operacional de RAG estabelecida no protocolo, enquadrando-se no critério CE1.</t>
  </si>
  <si>
    <t>The abstract mentions sustainable, non-motorized modes of transport but does not explicitly establish a substantive environmental connection</t>
  </si>
  <si>
    <t>The study mentions integration of Retrieval Augmented Generation (RAG) but does not specify whether retrieved information is incorporated into a generative model</t>
  </si>
  <si>
    <t>Estudo que apresenta a integração de RAG e modelos generativos em uma plataforma de gestão e manutenção de ativos de sistemas elétricos. Embora mencione mudanças climáticas, energias renováveis e políticas de baixo carbono na contextualização, a aplicação concentra-se na confiabilidade dos equipamentos, redução de custos de manutenção e estabilidade da rede. Não demonstra finalidade ambiental substantiva, como mitigação climática, redução de emissões ou gestão sustentável de recursos. Portanto, enquadra-se no critério CE2, conforme o protocolo v1.0.</t>
  </si>
  <si>
    <t>The study describes opportunities for LLMs to enhance routing systems but states that the integration of RAG and other methods are proposed application areas without reporting empirical evaluation</t>
  </si>
  <si>
    <t>knapsack problem; Large language model; LLM; navigation; routing; semantic routing; shortest path problem; traveling salesman problem; vehicle routing problem</t>
  </si>
  <si>
    <t>Problem solving; Recommender systems; Traveling salesman problem; User interfaces; Vehicle routing; Knapsack problems; Language model; Large language model; Routings; Salesman problem; Semantic routing; Shortest path problem; Travelling salesman; Vehicle Routing Problems; Combinatorial optimization; Navigation</t>
  </si>
  <si>
    <t>CE2 — monitoramento ambiental aparece como contexto da robótica submarina</t>
  </si>
  <si>
    <t>Monitoramento ambiental marinho é citado entre usos possíveis dos robôs; os objetivos e resultados avaliados são autonomia, interação com o supervisor e validação de missões.</t>
  </si>
  <si>
    <t>Estudo primário com implementação explícita de RAG, integrado a grafos de conhecimento e modelos de linguagem para tomada de decisão de múltiplos robôs subaquáticos, com avaliação empírica e estudos de ablação. Embora mencione monitoramento ambiental como possível aplicação, o objetivo e os resultados apresentados concentram-se na autonomia robótica, interação humano-robô e confiabilidade das decisões. As condições ambientais descritas referem-se principalmente ao contexto operacional subaquático, sem demonstração de uma aplicação ecológica, climática ou de sustentabilidade ambiental substantiva. Portanto, enquadra-se no critério CE2, conforme o protocolo v1.0.</t>
  </si>
  <si>
    <t>CE4 — protótipo descrito sem avaliação empírica claramente relatada</t>
  </si>
  <si>
    <t>GraphRAG é usado para decisões agrícolas que incluem riscos ecológicos e variabilidade climática. Um protótipo móvel é descrito, mas não se apresenta avaliação empírica específica do RAG ou resultados mensuráveis; verificar CE4 no texto integral.</t>
  </si>
  <si>
    <t>Estudo primário que propõe um framework de apoio à decisão agrícola baseado em grafos de conhecimento causais e GraphRAG, incorporando explicitamente riscos ecológicos, variabilidade climática e restrições de recursos. A dimensão ambiental apresenta relevância substantiva, especialmente para adaptação climática e manejo sustentável. Entretanto, embora apresente uma prova de conceito implementada em aplicativo móvel, o resumo não descreve experimentos, métricas ou procedimentos suficientes para confirmar a avaliação empírica do sistema RAG. Recomenda-se verificar o texto completo, principalmente quanto à integração operacional do GraphRAG e à existência de validação empírica, conforme os critérios CE1 e CE4.</t>
  </si>
  <si>
    <t>CE2 — diagnóstico fitossanitário versus dimensão ambiental substantiva</t>
  </si>
  <si>
    <t>O RAG fundamenta recomendações para identificar e tratar doenças de plantas. Clima é um fator contextual; não são avaliados efeitos ambientais, redução de agrotóxicos ou sustentabilidade agrícola.</t>
  </si>
  <si>
    <t>Estudo primário que combina uma CNN para detecção de doenças vegetais com um chatbot RAG baseado em LLaMA-2 e FAISS para fornecer orientações sobre tratamento e cuidados com plantas. Embora mencione mudanças climáticas como fator associado à ocorrência de doenças, a aplicação concentra-se no diagnóstico e manejo fitossanitário, sem demonstrar finalidade ambiental substantiva, como adaptação climática, redução de agrotóxicos ou conservação de recursos naturais. Os resultados quantitativos apresentados referem-se principalmente ao módulo CNN, sem avaliação específica suficientemente detalhada do RAG. Portanto, recomenda-se a exclusão pelo critério CE2, conforme o protocolo v1.0.</t>
  </si>
  <si>
    <t>CE2 — environmental priors se refere a condições operacionais V2X</t>
  </si>
  <si>
    <t>O sistema RAG reconstrói telemetria em redes V2X sob falhas de comunicação. "Environmental priors" designa contexto operacional; o alvo é confiabilidade de transmissão, sem objetivo ambiental.</t>
  </si>
  <si>
    <t>Estudo primário com utilização declarada de RAG, modelos de linguagem e Digital Twins para reconstrução de dados de telemetria e detecção de falhas em redes de comunicação veicular V2X, apresentando avaliação empírica. Embora mencione environmental priors, o termo refere-se às condições operacionais utilizadas para orientar a recuperação dos dados, não a questões ecológicas ou climáticas. A aplicação concentra-se na confiabilidade das comunicações e na estabilidade dos sistemas de transporte inteligente, sem demonstrar finalidade ambiental substantiva. Portanto, recomenda-se a exclusão pelo critério CE2, conforme o protocolo v1.0.
 Copiar justificativa</t>
  </si>
  <si>
    <t>CE2 — manejo de pragas sem evidência explícita de impacto ambiental</t>
  </si>
  <si>
    <t>A solução avalia detecção de pragas e precisão de recomendações para reduzir perdas de produtividade. O resumo não confirma manejo ambientalmente sustentável nem redução de pesticidas.</t>
  </si>
  <si>
    <t>Estudo primário com implementação explícita de RAG, integrado a modelos de linguagem, detecção visual de pragas e sensores IoT para geração de recomendações de manejo agrícola. Apresenta avaliação empírica com métricas quantitativas, incluindo 68,7% de F1-score na extração de conhecimento e 77,33% de acurácia na geração de recomendações. Entretanto, o objetivo central é melhorar o controle de pragas e reduzir perdas de produtividade. Embora utilize dados ambientais e práticas de agricultura de precisão, o resumo não demonstra finalidade ambiental substantiva, como redução do uso de pesticidas, conservação da biodiversidade ou mitigação de impactos ecológicos. Portanto, recomenda-se a exclusão pelo critério CE2, conforme o protocolo v1.0.</t>
  </si>
  <si>
    <t>CE4 — objetivo climático evidente, mas resultados de validação não claros</t>
  </si>
  <si>
    <t>Monções, umidade do solo e vegetação sustentam objetivo climático explícito, com agentes de recuperação e RAG. O resumo não apresenta teste comparativo, métricas de geração ou avaliação empírica do sistema; verificar CE4 no texto integral.</t>
  </si>
  <si>
    <t>Estudo primário que apresenta um sistema multiagente com RAG para análise geoespacial e monitoramento das monções indianas, integrando dados de precipitação, umidade do solo e saúde da vegetação. A aplicação possui relevância ambiental e climática substantiva, especialmente para monitoramento ambiental e planejamento de desastres. Entretanto, embora descreva uma arquitetura com recuperação contextual e modelos de linguagem, o resumo não detalha suficientemente a integração operacional do RAG nem apresenta resultados de avaliação empírica do sistema. Recomenda-se verificar o texto completo pelos critérios CE1 e CE4, conforme o protocolo v1.0.</t>
  </si>
  <si>
    <t>CE2 — controle interno do edifício sem objetivo ambiental demonstrado</t>
  </si>
  <si>
    <t>Avaliado em prédio de escritórios para consulta de conhecimento e personalização do controle interno. Sem meta ambiental como redução de energia ou de emissões.</t>
  </si>
  <si>
    <t>Estudo primário com implementação de Vector-Graph RAG e modelos de linguagem para consultas e controle adaptativo de ambientes internos de edifícios, apresentando avaliação empírica em um escritório operacional. Embora utilize o termo environmental management, a aplicação concentra-se na integração de dados prediais, interpretação das preferências dos ocupantes e melhoria da precisão das consultas. O resumo não demonstra finalidade ambiental substantiva, como eficiência energética com objetivo de conservação de recursos, redução de emissões ou mitigação de impactos ecológicos. Portanto, recomenda-se a exclusão pelo critério CE2, conforme o protocolo v1.0.</t>
  </si>
  <si>
    <t>CE2 — environment como cenário de navegação, não meio ambiente</t>
  </si>
  <si>
    <t>RAG multimodal é empregado para segurança veicular; atributos ambientais são características do ambiente de direção. Não há avaliação de poluição, emissões ou sustentabilidade.</t>
  </si>
  <si>
    <t>Estudo primário com implementação de RAG multimodal integrado a modelos de linguagem e mecanismos de raciocínio para apoiar decisões de direção autônoma, apresentando avaliação empírica em múltiplos conjuntos de dados. Embora utilize atributos ambientais, estes correspondem às condições operacionais do cenário de direção e não a questões ecológicas ou climáticas. A aplicação concentra-se na segurança veicular, precisão das decisões e prevenção de comportamentos inadequados, sem demonstrar finalidade ambiental substantiva, como redução de emissões, eficiência energética ou mobilidade sustentável. Portanto, recomenda-se a exclusão pelo critério CE2, conforme o protocolo v1.0.</t>
  </si>
  <si>
    <t>CE1</t>
  </si>
  <si>
    <t>CE4</t>
  </si>
  <si>
    <t>MESMA DECISÃO; CÓDIGO DIFERENTE</t>
  </si>
  <si>
    <t>CE1 versus CE4 — conferir motivo prioritário da exclusão pelo protocolo</t>
  </si>
  <si>
    <t>RAG é mencionado apenas como possibilidade de aplicação ("may enhance"), sem implementação operacional. Há também caráter revisional, mas CE1 preserva o motivo original e é suficiente; CE4 não é o motivo principal.</t>
  </si>
  <si>
    <t>Estudo de caráter predominantemente exploratório, baseado em revisão da literatura sobre a integração de modelos de linguagem e técnicas de otimização combinatória para problemas de roteamento. Embora mencione RAG e o potencial de apoio à mobilidade sustentável, a recuperação aumentada é apresentada apenas como possibilidade de aplicação, sem implementação operacional demonstrada ou avaliação empírica específica. Além disso, o trabalho não apresenta uma aplicação ambiental substantiva efetivamente investigada. Portanto, recomenda-se a exclusão pelo critério principal CE1, conforme a definição operacional de RAG estabelecida no protocolo v1.0.</t>
  </si>
</sst>
</file>

<file path=xl/styles.xml><?xml version="1.0" encoding="utf-8"?>
<styleSheet xmlns="http://schemas.openxmlformats.org/spreadsheetml/2006/main" xmlns:x14ac="http://schemas.microsoft.com/office/spreadsheetml/2009/9/ac" xmlns:mc="http://schemas.openxmlformats.org/markup-compatibility/2006">
  <numFmts count="1">
    <numFmt numFmtId="164" formatCode="yyyy-mm-dd"/>
  </numFmts>
  <fonts count="13">
    <font>
      <sz val="11.0"/>
      <color rgb="FF000000"/>
      <name val="Carlito"/>
      <scheme val="minor"/>
    </font>
    <font>
      <b/>
      <sz val="16.0"/>
      <color rgb="FFFFFFFF"/>
      <name val="Carlito"/>
    </font>
    <font>
      <b/>
      <sz val="11.0"/>
      <color rgb="FFFFFFFF"/>
      <name val="Carlito"/>
    </font>
    <font>
      <sz val="11.0"/>
      <color rgb="FF233447"/>
      <name val="Carlito"/>
    </font>
    <font>
      <b/>
      <sz val="12.0"/>
      <color rgb="FFFFFFFF"/>
      <name val="Carlito"/>
    </font>
    <font>
      <sz val="10.0"/>
      <color rgb="FF233447"/>
      <name val="Carlito"/>
    </font>
    <font>
      <b/>
      <sz val="10.0"/>
      <color rgb="FF82560A"/>
      <name val="Carlito"/>
    </font>
    <font>
      <b/>
      <sz val="17.0"/>
      <color rgb="FFFFFFFF"/>
      <name val="Carlito"/>
    </font>
    <font>
      <b/>
      <sz val="10.0"/>
      <color rgb="FFFFFFFF"/>
      <name val="Carlito"/>
    </font>
    <font>
      <b/>
      <sz val="10.0"/>
      <color rgb="FF61758B"/>
      <name val="Carlito"/>
    </font>
    <font>
      <b/>
      <sz val="13.0"/>
      <color rgb="FF2261A6"/>
      <name val="Carlito"/>
    </font>
    <font>
      <sz val="10.0"/>
      <color rgb="FF61758B"/>
      <name val="Carlito"/>
    </font>
    <font>
      <b/>
      <sz val="10.0"/>
      <color rgb="FF2261A6"/>
      <name val="Carlito"/>
    </font>
  </fonts>
  <fills count="7">
    <fill>
      <patternFill patternType="none"/>
    </fill>
    <fill>
      <patternFill patternType="lightGray"/>
    </fill>
    <fill>
      <patternFill patternType="solid">
        <fgColor rgb="FF142A44"/>
        <bgColor rgb="FF142A44"/>
      </patternFill>
    </fill>
    <fill>
      <patternFill patternType="solid">
        <fgColor rgb="FF2261A6"/>
        <bgColor rgb="FF2261A6"/>
      </patternFill>
    </fill>
    <fill>
      <patternFill patternType="solid">
        <fgColor rgb="FFF3F6F9"/>
        <bgColor rgb="FFF3F6F9"/>
      </patternFill>
    </fill>
    <fill>
      <patternFill patternType="solid">
        <fgColor rgb="FFFFF2D8"/>
        <bgColor rgb="FFFFF2D8"/>
      </patternFill>
    </fill>
    <fill>
      <patternFill patternType="solid">
        <fgColor rgb="FFEAF2FC"/>
        <bgColor rgb="FFEAF2FC"/>
      </patternFill>
    </fill>
  </fills>
  <borders count="1">
    <border/>
  </borders>
  <cellStyleXfs count="1">
    <xf borderId="0" fillId="0" fontId="0" numFmtId="0" applyAlignment="1" applyFont="1"/>
  </cellStyleXfs>
  <cellXfs count="23">
    <xf borderId="0" fillId="0" fontId="0" numFmtId="0" xfId="0" applyAlignment="1" applyFont="1">
      <alignment readingOrder="0" shrinkToFit="0" vertical="bottom" wrapText="0"/>
    </xf>
    <xf borderId="0" fillId="2" fontId="1" numFmtId="0" xfId="0" applyFill="1" applyFont="1"/>
    <xf borderId="0" fillId="3" fontId="2" numFmtId="0" xfId="0" applyFill="1" applyFont="1"/>
    <xf borderId="0" fillId="4" fontId="3" numFmtId="0" xfId="0" applyAlignment="1" applyFill="1" applyFont="1">
      <alignment shrinkToFit="0" vertical="center" wrapText="1"/>
    </xf>
    <xf borderId="0" fillId="0" fontId="3" numFmtId="0" xfId="0" applyAlignment="1" applyFont="1">
      <alignment shrinkToFit="0" vertical="center" wrapText="1"/>
    </xf>
    <xf borderId="0" fillId="2" fontId="4" numFmtId="0" xfId="0" applyFill="1" applyFont="1"/>
    <xf borderId="0" fillId="4" fontId="5" numFmtId="0" xfId="0" applyAlignment="1" applyFill="1" applyFont="1">
      <alignment shrinkToFit="0" wrapText="1"/>
    </xf>
    <xf borderId="0" fillId="0" fontId="5" numFmtId="0" xfId="0" applyAlignment="1" applyFont="1">
      <alignment shrinkToFit="0" wrapText="1"/>
    </xf>
    <xf borderId="0" fillId="5" fontId="6" numFmtId="0" xfId="0" applyAlignment="1" applyFill="1" applyFont="1">
      <alignment shrinkToFit="0" wrapText="1"/>
    </xf>
    <xf borderId="0" fillId="6" fontId="3" numFmtId="0" xfId="0" applyFill="1" applyFont="1"/>
    <xf borderId="0" fillId="2" fontId="7" numFmtId="0" xfId="0" applyAlignment="1" applyFill="1" applyFont="1">
      <alignment vertical="center"/>
    </xf>
    <xf borderId="0" fillId="6" fontId="3" numFmtId="0" xfId="0" applyAlignment="1" applyFill="1" applyFont="1">
      <alignment vertical="center"/>
    </xf>
    <xf borderId="0" fillId="2" fontId="8" numFmtId="0" xfId="0" applyAlignment="1" applyFill="1" applyFont="1">
      <alignment horizontal="left" readingOrder="0" shrinkToFit="0" vertical="center" wrapText="1"/>
    </xf>
    <xf borderId="0" fillId="4" fontId="9" numFmtId="0" xfId="0" applyFill="1" applyFont="1"/>
    <xf borderId="0" fillId="4" fontId="10" numFmtId="0" xfId="0" applyFill="1" applyFont="1"/>
    <xf borderId="0" fillId="0" fontId="5" numFmtId="0" xfId="0" applyAlignment="1" applyFont="1">
      <alignment shrinkToFit="0" vertical="top" wrapText="1"/>
    </xf>
    <xf borderId="0" fillId="0" fontId="11" numFmtId="0" xfId="0" applyFont="1"/>
    <xf borderId="0" fillId="5" fontId="6" numFmtId="0" xfId="0" applyFill="1" applyFont="1"/>
    <xf borderId="0" fillId="4" fontId="5" numFmtId="0" xfId="0" applyAlignment="1" applyFill="1" applyFont="1">
      <alignment shrinkToFit="0" vertical="top" wrapText="1"/>
    </xf>
    <xf borderId="0" fillId="5" fontId="5" numFmtId="0" xfId="0" applyAlignment="1" applyFill="1" applyFont="1">
      <alignment readingOrder="0" shrinkToFit="0" vertical="top" wrapText="1"/>
    </xf>
    <xf borderId="0" fillId="5" fontId="5" numFmtId="164" xfId="0" applyAlignment="1" applyFill="1" applyFont="1" applyNumberFormat="1">
      <alignment readingOrder="0" shrinkToFit="0" vertical="top" wrapText="1"/>
    </xf>
    <xf borderId="0" fillId="6" fontId="12" numFmtId="0" xfId="0" applyAlignment="1" applyFill="1" applyFont="1">
      <alignment shrinkToFit="0" vertical="center" wrapText="1"/>
    </xf>
    <xf borderId="0" fillId="5" fontId="5" numFmtId="0" xfId="0" applyAlignment="1" applyFill="1" applyFont="1">
      <alignment shrinkToFit="0" vertical="top" wrapText="1"/>
    </xf>
  </cellXfs>
  <cellStyles count="1">
    <cellStyle xfId="0" name="Normal" builtinId="0"/>
  </cellStyles>
  <dxfs count="5">
    <dxf>
      <font/>
      <fill>
        <patternFill patternType="none"/>
      </fill>
      <border/>
    </dxf>
    <dxf>
      <font/>
      <fill>
        <patternFill patternType="solid">
          <fgColor theme="4"/>
          <bgColor theme="4"/>
        </patternFill>
      </fill>
      <border/>
    </dxf>
    <dxf>
      <font/>
      <fill>
        <patternFill patternType="solid">
          <fgColor rgb="FFC1E4F5"/>
          <bgColor rgb="FFC1E4F5"/>
        </patternFill>
      </fill>
      <border/>
    </dxf>
    <dxf>
      <font/>
      <fill>
        <patternFill patternType="solid">
          <fgColor theme="0"/>
          <bgColor theme="0"/>
        </patternFill>
      </fill>
      <border/>
    </dxf>
    <dxf>
      <border>
        <left style="thin">
          <color theme="4"/>
        </left>
        <right style="thin">
          <color theme="4"/>
        </right>
        <top style="thin">
          <color theme="4"/>
        </top>
        <bottom style="thin">
          <color theme="4"/>
        </bottom>
        <vertical style="thin">
          <color rgb="FFD4D4D4"/>
        </vertical>
        <horizontal style="thin">
          <color rgb="FFD4D4D4"/>
        </horizontal>
      </border>
    </dxf>
  </dxfs>
  <tableStyles count="2">
    <tableStyle count="4" pivot="0" name="RESOLVER_11-style">
      <tableStyleElement dxfId="1" type="headerRow"/>
      <tableStyleElement dxfId="2" type="firstRowStripe"/>
      <tableStyleElement dxfId="3" type="secondRowStripe"/>
      <tableStyleElement dxfId="4" size="0" type="wholeTable"/>
    </tableStyle>
    <tableStyle count="4" pivot="0" name="RESUMOS_EVIDENCIAS-style">
      <tableStyleElement dxfId="1" type="headerRow"/>
      <tableStyleElement dxfId="2" type="firstRowStripe"/>
      <tableStyleElement dxfId="3" type="secondRowStripe"/>
      <tableStyleElement dxfId="4" size="0" type="wholeTable"/>
    </tableStyle>
  </tableStyle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customschemas.google.com/relationships/workbookmetadata" Target="metadata"/></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ables/table1.xml><?xml version="1.0" encoding="utf-8"?>
<table xmlns="http://schemas.openxmlformats.org/spreadsheetml/2006/main" ref="A6:R17" displayName="PilotoDivergencias11" name="PilotoDivergencias11" id="2">
  <tableColumns count="18">
    <tableColumn name="ORDEM" id="1"/>
    <tableColumn name="ID" id="2"/>
    <tableColumn name="TÍTULO DO ARTIGO" id="3"/>
    <tableColumn name="DECISÃO PILOTO" id="4"/>
    <tableColumn name="CE PILOTO" id="5"/>
    <tableColumn name="SUGESTÃO QWEN" id="6"/>
    <tableColumn name="CE QWEN" id="7"/>
    <tableColumn name="TIPO DIVERGÊNCIA" id="8"/>
    <tableColumn name="O QUE CONFERIR" id="9"/>
    <tableColumn name="PARECER IA" id="10"/>
    <tableColumn name="CE PARECER IA" id="11"/>
    <tableColumn name="JUSTIFICATIVA DO PARECER IA" id="12"/>
    <tableColumn name="DECISÃO FINAL HUMANA" id="13"/>
    <tableColumn name="CE FINAL" id="14"/>
    <tableColumn name="JUSTIFICATIVA FINAL HUMANA" id="15"/>
    <tableColumn name="REVISOR" id="16"/>
    <tableColumn name="DATA DA DECISÃO" id="17"/>
    <tableColumn name="STATUS" id="18"/>
  </tableColumns>
  <tableStyleInfo name="RESOLVER_11-style" showColumnStripes="0" showFirstColumn="1" showLastColumn="1" showRowStripes="1"/>
</table>
</file>

<file path=xl/tables/table2.xml><?xml version="1.0" encoding="utf-8"?>
<table xmlns="http://schemas.openxmlformats.org/spreadsheetml/2006/main" ref="A4:J15" displayName="Evidencias11" name="Evidencias11" id="1">
  <tableColumns count="10">
    <tableColumn name="ID" id="1"/>
    <tableColumn name="TÍTULO" id="2"/>
    <tableColumn name="ABSTRACT ORIGINAL" id="3"/>
    <tableColumn name="JUSTIFICATIVA REGISTRADA NO PILOTO" id="4"/>
    <tableColumn name="EVIDÊNCIA QWEN: AMBIENTAL" id="5"/>
    <tableColumn name="EVIDÊNCIA QWEN: RAG" id="6"/>
    <tableColumn name="EVIDÊNCIA QWEN: AVALIAÇÃO" id="7"/>
    <tableColumn name="TIPO DOCUMENTO" id="8"/>
    <tableColumn name="PALAVRAS-CHAVE" id="9"/>
    <tableColumn name="TERMOS INDEXADOS" id="10"/>
  </tableColumns>
  <tableStyleInfo name="RESUMOS_EVIDENCIAS-style" showColumnStripes="0" showFirstColumn="1" showLastColumn="1" showRowStripes="1"/>
</table>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3"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3"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xSplit="2.0" ySplit="6.0" topLeftCell="C7" activePane="bottomRight" state="frozen"/>
      <selection activeCell="C1" sqref="C1" pane="topRight"/>
      <selection activeCell="A7" sqref="A7" pane="bottomLeft"/>
      <selection activeCell="C7" sqref="C7" pane="bottomRight"/>
    </sheetView>
  </sheetViews>
  <sheetFormatPr customHeight="1" defaultColWidth="12.63" defaultRowHeight="15.0"/>
  <cols>
    <col customWidth="1" min="1" max="1" width="9.0"/>
    <col customWidth="1" min="2" max="2" width="13.0"/>
    <col customWidth="1" min="3" max="3" width="43.0"/>
    <col customWidth="1" min="4" max="4" width="16.0"/>
    <col customWidth="1" min="5" max="5" width="11.0"/>
    <col customWidth="1" min="6" max="6" width="15.0"/>
    <col customWidth="1" min="7" max="7" width="11.0"/>
    <col customWidth="1" min="8" max="8" width="20.0"/>
    <col customWidth="1" min="9" max="9" width="48.0"/>
    <col customWidth="1" min="10" max="10" width="15.0"/>
    <col customWidth="1" min="11" max="11" width="13.0"/>
    <col customWidth="1" min="12" max="12" width="59.0"/>
    <col customWidth="1" min="13" max="13" width="21.0"/>
    <col customWidth="1" min="14" max="14" width="12.0"/>
    <col customWidth="1" min="15" max="15" width="59.0"/>
    <col customWidth="1" min="16" max="18" width="19.0"/>
    <col customWidth="1" min="19" max="26" width="8.63"/>
  </cols>
  <sheetData>
    <row r="1" ht="39.0" customHeight="1">
      <c r="A1" s="10" t="s">
        <v>30</v>
      </c>
    </row>
    <row r="2" ht="25.5" customHeight="1">
      <c r="A2" s="11" t="s">
        <v>33</v>
      </c>
    </row>
    <row r="3" ht="27.0" customHeight="1">
      <c r="A3" s="13" t="s">
        <v>34</v>
      </c>
      <c r="B3" s="14">
        <v>11.0</v>
      </c>
      <c r="D3" s="13" t="s">
        <v>38</v>
      </c>
      <c r="E3" s="14">
        <f>COUNTIF(R7:R17,"RESOLVIDO")</f>
        <v>11</v>
      </c>
      <c r="G3" s="13" t="s">
        <v>47</v>
      </c>
      <c r="H3" s="14">
        <f>COUNTIF(R7:R17,"&lt;&gt;RESOLVIDO")</f>
        <v>0</v>
      </c>
    </row>
    <row r="4" ht="24.75" customHeight="1">
      <c r="A4" s="16" t="s">
        <v>52</v>
      </c>
    </row>
    <row r="5" ht="24.75" customHeight="1">
      <c r="A5" s="17" t="s">
        <v>56</v>
      </c>
    </row>
    <row r="6" ht="43.5" customHeight="1">
      <c r="A6" s="12" t="s">
        <v>59</v>
      </c>
      <c r="B6" s="12" t="s">
        <v>32</v>
      </c>
      <c r="C6" s="12" t="s">
        <v>65</v>
      </c>
      <c r="D6" s="12" t="s">
        <v>67</v>
      </c>
      <c r="E6" s="12" t="s">
        <v>69</v>
      </c>
      <c r="F6" s="12" t="s">
        <v>71</v>
      </c>
      <c r="G6" s="12" t="s">
        <v>74</v>
      </c>
      <c r="H6" s="12" t="s">
        <v>76</v>
      </c>
      <c r="I6" s="12" t="s">
        <v>78</v>
      </c>
      <c r="J6" s="12" t="s">
        <v>83</v>
      </c>
      <c r="K6" s="12" t="s">
        <v>85</v>
      </c>
      <c r="L6" s="12" t="s">
        <v>87</v>
      </c>
      <c r="M6" s="12" t="s">
        <v>89</v>
      </c>
      <c r="N6" s="12" t="s">
        <v>91</v>
      </c>
      <c r="O6" s="12" t="s">
        <v>94</v>
      </c>
      <c r="P6" s="12" t="s">
        <v>97</v>
      </c>
      <c r="Q6" s="12" t="s">
        <v>99</v>
      </c>
      <c r="R6" s="12" t="s">
        <v>101</v>
      </c>
    </row>
    <row r="7" ht="94.5" customHeight="1">
      <c r="A7" s="15">
        <v>1.0</v>
      </c>
      <c r="B7" s="15" t="s">
        <v>45</v>
      </c>
      <c r="C7" s="15" t="s">
        <v>46</v>
      </c>
      <c r="D7" s="15" t="s">
        <v>108</v>
      </c>
      <c r="E7" s="15" t="s">
        <v>111</v>
      </c>
      <c r="F7" s="15" t="s">
        <v>112</v>
      </c>
      <c r="G7" s="15"/>
      <c r="H7" s="15" t="s">
        <v>116</v>
      </c>
      <c r="I7" s="15" t="s">
        <v>119</v>
      </c>
      <c r="J7" s="15" t="s">
        <v>108</v>
      </c>
      <c r="K7" s="15" t="s">
        <v>111</v>
      </c>
      <c r="L7" s="15" t="s">
        <v>124</v>
      </c>
      <c r="M7" s="19" t="s">
        <v>108</v>
      </c>
      <c r="N7" s="19" t="s">
        <v>111</v>
      </c>
      <c r="O7" s="19" t="s">
        <v>131</v>
      </c>
      <c r="P7" s="19" t="s">
        <v>134</v>
      </c>
      <c r="Q7" s="20">
        <v>46310.0</v>
      </c>
      <c r="R7" s="21" t="str">
        <f t="shared" ref="R7:R17" si="1">IF(M7="","PENDENTE",IF(AND(M7="exclude",N7=""),"FALTA CE",IF(OR(O7="",P7="",Q7=""),"INCOMPLETO","RESOLVIDO")))</f>
        <v>RESOLVIDO</v>
      </c>
    </row>
    <row r="8" ht="94.5" customHeight="1">
      <c r="A8" s="18">
        <v>2.0</v>
      </c>
      <c r="B8" s="18" t="s">
        <v>58</v>
      </c>
      <c r="C8" s="18" t="s">
        <v>60</v>
      </c>
      <c r="D8" s="18" t="s">
        <v>108</v>
      </c>
      <c r="E8" s="18" t="s">
        <v>111</v>
      </c>
      <c r="F8" s="18" t="s">
        <v>160</v>
      </c>
      <c r="G8" s="18"/>
      <c r="H8" s="18" t="s">
        <v>116</v>
      </c>
      <c r="I8" s="18" t="s">
        <v>163</v>
      </c>
      <c r="J8" s="18" t="s">
        <v>108</v>
      </c>
      <c r="K8" s="18" t="s">
        <v>111</v>
      </c>
      <c r="L8" s="18" t="s">
        <v>167</v>
      </c>
      <c r="M8" s="19" t="s">
        <v>108</v>
      </c>
      <c r="N8" s="19" t="s">
        <v>111</v>
      </c>
      <c r="O8" s="19" t="s">
        <v>172</v>
      </c>
      <c r="P8" s="19" t="s">
        <v>134</v>
      </c>
      <c r="Q8" s="20">
        <v>46310.0</v>
      </c>
      <c r="R8" s="21" t="str">
        <f t="shared" si="1"/>
        <v>RESOLVIDO</v>
      </c>
    </row>
    <row r="9" ht="94.5" customHeight="1">
      <c r="A9" s="15">
        <v>3.0</v>
      </c>
      <c r="B9" s="15" t="s">
        <v>72</v>
      </c>
      <c r="C9" s="15" t="s">
        <v>73</v>
      </c>
      <c r="D9" s="15" t="s">
        <v>108</v>
      </c>
      <c r="E9" s="15" t="s">
        <v>111</v>
      </c>
      <c r="F9" s="15" t="s">
        <v>160</v>
      </c>
      <c r="G9" s="15"/>
      <c r="H9" s="15" t="s">
        <v>116</v>
      </c>
      <c r="I9" s="15" t="s">
        <v>176</v>
      </c>
      <c r="J9" s="15" t="s">
        <v>108</v>
      </c>
      <c r="K9" s="15" t="s">
        <v>111</v>
      </c>
      <c r="L9" s="15" t="s">
        <v>177</v>
      </c>
      <c r="M9" s="19" t="s">
        <v>108</v>
      </c>
      <c r="N9" s="19" t="s">
        <v>111</v>
      </c>
      <c r="O9" s="19" t="s">
        <v>178</v>
      </c>
      <c r="P9" s="19" t="s">
        <v>134</v>
      </c>
      <c r="Q9" s="20">
        <v>46310.0</v>
      </c>
      <c r="R9" s="21" t="str">
        <f t="shared" si="1"/>
        <v>RESOLVIDO</v>
      </c>
    </row>
    <row r="10" ht="94.5" customHeight="1">
      <c r="A10" s="18">
        <v>4.0</v>
      </c>
      <c r="B10" s="18" t="s">
        <v>88</v>
      </c>
      <c r="C10" s="18" t="s">
        <v>90</v>
      </c>
      <c r="D10" s="18" t="s">
        <v>160</v>
      </c>
      <c r="E10" s="18"/>
      <c r="F10" s="18" t="s">
        <v>112</v>
      </c>
      <c r="G10" s="18"/>
      <c r="H10" s="18" t="s">
        <v>116</v>
      </c>
      <c r="I10" s="18" t="s">
        <v>179</v>
      </c>
      <c r="J10" s="18" t="s">
        <v>160</v>
      </c>
      <c r="K10" s="18"/>
      <c r="L10" s="18" t="s">
        <v>180</v>
      </c>
      <c r="M10" s="19" t="s">
        <v>160</v>
      </c>
      <c r="N10" s="22"/>
      <c r="O10" s="19" t="s">
        <v>181</v>
      </c>
      <c r="P10" s="19" t="s">
        <v>134</v>
      </c>
      <c r="Q10" s="20">
        <v>46310.0</v>
      </c>
      <c r="R10" s="21" t="str">
        <f t="shared" si="1"/>
        <v>RESOLVIDO</v>
      </c>
    </row>
    <row r="11" ht="94.5" customHeight="1">
      <c r="A11" s="15">
        <v>5.0</v>
      </c>
      <c r="B11" s="15" t="s">
        <v>103</v>
      </c>
      <c r="C11" s="15" t="s">
        <v>104</v>
      </c>
      <c r="D11" s="15" t="s">
        <v>108</v>
      </c>
      <c r="E11" s="15" t="s">
        <v>111</v>
      </c>
      <c r="F11" s="15" t="s">
        <v>160</v>
      </c>
      <c r="G11" s="15"/>
      <c r="H11" s="15" t="s">
        <v>116</v>
      </c>
      <c r="I11" s="15" t="s">
        <v>182</v>
      </c>
      <c r="J11" s="15" t="s">
        <v>108</v>
      </c>
      <c r="K11" s="15" t="s">
        <v>111</v>
      </c>
      <c r="L11" s="15" t="s">
        <v>183</v>
      </c>
      <c r="M11" s="19" t="s">
        <v>108</v>
      </c>
      <c r="N11" s="19" t="s">
        <v>111</v>
      </c>
      <c r="O11" s="19" t="s">
        <v>184</v>
      </c>
      <c r="P11" s="19" t="s">
        <v>134</v>
      </c>
      <c r="Q11" s="20">
        <v>46310.0</v>
      </c>
      <c r="R11" s="21" t="str">
        <f t="shared" si="1"/>
        <v>RESOLVIDO</v>
      </c>
    </row>
    <row r="12" ht="94.5" customHeight="1">
      <c r="A12" s="18">
        <v>6.0</v>
      </c>
      <c r="B12" s="18" t="s">
        <v>115</v>
      </c>
      <c r="C12" s="18" t="s">
        <v>117</v>
      </c>
      <c r="D12" s="18" t="s">
        <v>108</v>
      </c>
      <c r="E12" s="18" t="s">
        <v>111</v>
      </c>
      <c r="F12" s="18" t="s">
        <v>160</v>
      </c>
      <c r="G12" s="18"/>
      <c r="H12" s="18" t="s">
        <v>116</v>
      </c>
      <c r="I12" s="18" t="s">
        <v>185</v>
      </c>
      <c r="J12" s="18" t="s">
        <v>108</v>
      </c>
      <c r="K12" s="18" t="s">
        <v>111</v>
      </c>
      <c r="L12" s="18" t="s">
        <v>186</v>
      </c>
      <c r="M12" s="19" t="s">
        <v>108</v>
      </c>
      <c r="N12" s="19" t="s">
        <v>111</v>
      </c>
      <c r="O12" s="19" t="s">
        <v>187</v>
      </c>
      <c r="P12" s="19" t="s">
        <v>134</v>
      </c>
      <c r="Q12" s="20">
        <v>46310.0</v>
      </c>
      <c r="R12" s="21" t="str">
        <f t="shared" si="1"/>
        <v>RESOLVIDO</v>
      </c>
    </row>
    <row r="13" ht="94.5" customHeight="1">
      <c r="A13" s="15">
        <v>7.0</v>
      </c>
      <c r="B13" s="15" t="s">
        <v>126</v>
      </c>
      <c r="C13" s="15" t="s">
        <v>127</v>
      </c>
      <c r="D13" s="15" t="s">
        <v>108</v>
      </c>
      <c r="E13" s="15" t="s">
        <v>111</v>
      </c>
      <c r="F13" s="15" t="s">
        <v>112</v>
      </c>
      <c r="G13" s="15"/>
      <c r="H13" s="15" t="s">
        <v>116</v>
      </c>
      <c r="I13" s="15" t="s">
        <v>188</v>
      </c>
      <c r="J13" s="15" t="s">
        <v>108</v>
      </c>
      <c r="K13" s="15" t="s">
        <v>111</v>
      </c>
      <c r="L13" s="15" t="s">
        <v>189</v>
      </c>
      <c r="M13" s="19" t="s">
        <v>108</v>
      </c>
      <c r="N13" s="19" t="s">
        <v>111</v>
      </c>
      <c r="O13" s="19" t="s">
        <v>190</v>
      </c>
      <c r="P13" s="19" t="s">
        <v>134</v>
      </c>
      <c r="Q13" s="20">
        <v>46310.0</v>
      </c>
      <c r="R13" s="21" t="str">
        <f t="shared" si="1"/>
        <v>RESOLVIDO</v>
      </c>
    </row>
    <row r="14" ht="94.5" customHeight="1">
      <c r="A14" s="18">
        <v>8.0</v>
      </c>
      <c r="B14" s="18" t="s">
        <v>137</v>
      </c>
      <c r="C14" s="18" t="s">
        <v>138</v>
      </c>
      <c r="D14" s="18" t="s">
        <v>160</v>
      </c>
      <c r="E14" s="18"/>
      <c r="F14" s="18" t="s">
        <v>112</v>
      </c>
      <c r="G14" s="18"/>
      <c r="H14" s="18" t="s">
        <v>116</v>
      </c>
      <c r="I14" s="18" t="s">
        <v>191</v>
      </c>
      <c r="J14" s="18" t="s">
        <v>160</v>
      </c>
      <c r="K14" s="18"/>
      <c r="L14" s="18" t="s">
        <v>192</v>
      </c>
      <c r="M14" s="19" t="s">
        <v>160</v>
      </c>
      <c r="N14" s="22"/>
      <c r="O14" s="19" t="s">
        <v>193</v>
      </c>
      <c r="P14" s="19" t="s">
        <v>134</v>
      </c>
      <c r="Q14" s="20">
        <v>46310.0</v>
      </c>
      <c r="R14" s="21" t="str">
        <f t="shared" si="1"/>
        <v>RESOLVIDO</v>
      </c>
    </row>
    <row r="15" ht="94.5" customHeight="1">
      <c r="A15" s="15">
        <v>9.0</v>
      </c>
      <c r="B15" s="15" t="s">
        <v>146</v>
      </c>
      <c r="C15" s="15" t="s">
        <v>147</v>
      </c>
      <c r="D15" s="15" t="s">
        <v>108</v>
      </c>
      <c r="E15" s="15" t="s">
        <v>111</v>
      </c>
      <c r="F15" s="15" t="s">
        <v>160</v>
      </c>
      <c r="G15" s="15"/>
      <c r="H15" s="15" t="s">
        <v>116</v>
      </c>
      <c r="I15" s="15" t="s">
        <v>194</v>
      </c>
      <c r="J15" s="15" t="s">
        <v>108</v>
      </c>
      <c r="K15" s="15" t="s">
        <v>111</v>
      </c>
      <c r="L15" s="15" t="s">
        <v>195</v>
      </c>
      <c r="M15" s="19" t="s">
        <v>108</v>
      </c>
      <c r="N15" s="19" t="s">
        <v>111</v>
      </c>
      <c r="O15" s="19" t="s">
        <v>196</v>
      </c>
      <c r="P15" s="19" t="s">
        <v>134</v>
      </c>
      <c r="Q15" s="20">
        <v>46310.0</v>
      </c>
      <c r="R15" s="21" t="str">
        <f t="shared" si="1"/>
        <v>RESOLVIDO</v>
      </c>
    </row>
    <row r="16" ht="94.5" customHeight="1">
      <c r="A16" s="18">
        <v>10.0</v>
      </c>
      <c r="B16" s="18" t="s">
        <v>155</v>
      </c>
      <c r="C16" s="18" t="s">
        <v>156</v>
      </c>
      <c r="D16" s="18" t="s">
        <v>108</v>
      </c>
      <c r="E16" s="18" t="s">
        <v>111</v>
      </c>
      <c r="F16" s="18" t="s">
        <v>160</v>
      </c>
      <c r="G16" s="18"/>
      <c r="H16" s="18" t="s">
        <v>116</v>
      </c>
      <c r="I16" s="18" t="s">
        <v>197</v>
      </c>
      <c r="J16" s="18" t="s">
        <v>108</v>
      </c>
      <c r="K16" s="18" t="s">
        <v>111</v>
      </c>
      <c r="L16" s="18" t="s">
        <v>198</v>
      </c>
      <c r="M16" s="19" t="s">
        <v>108</v>
      </c>
      <c r="N16" s="19" t="s">
        <v>111</v>
      </c>
      <c r="O16" s="19" t="s">
        <v>199</v>
      </c>
      <c r="P16" s="19" t="s">
        <v>134</v>
      </c>
      <c r="Q16" s="20">
        <v>46310.0</v>
      </c>
      <c r="R16" s="21" t="str">
        <f t="shared" si="1"/>
        <v>RESOLVIDO</v>
      </c>
    </row>
    <row r="17" ht="94.5" customHeight="1">
      <c r="A17" s="15">
        <v>11.0</v>
      </c>
      <c r="B17" s="15" t="s">
        <v>165</v>
      </c>
      <c r="C17" s="15" t="s">
        <v>166</v>
      </c>
      <c r="D17" s="15" t="s">
        <v>108</v>
      </c>
      <c r="E17" s="15" t="s">
        <v>200</v>
      </c>
      <c r="F17" s="15" t="s">
        <v>108</v>
      </c>
      <c r="G17" s="15" t="s">
        <v>201</v>
      </c>
      <c r="H17" s="15" t="s">
        <v>202</v>
      </c>
      <c r="I17" s="15" t="s">
        <v>203</v>
      </c>
      <c r="J17" s="15" t="s">
        <v>108</v>
      </c>
      <c r="K17" s="15" t="s">
        <v>200</v>
      </c>
      <c r="L17" s="15" t="s">
        <v>204</v>
      </c>
      <c r="M17" s="19" t="s">
        <v>108</v>
      </c>
      <c r="N17" s="19" t="s">
        <v>200</v>
      </c>
      <c r="O17" s="19" t="s">
        <v>205</v>
      </c>
      <c r="P17" s="19" t="s">
        <v>134</v>
      </c>
      <c r="Q17" s="20">
        <v>46310.0</v>
      </c>
      <c r="R17" s="21" t="str">
        <f t="shared" si="1"/>
        <v>RESOLVIDO</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4">
    <mergeCell ref="A1:R1"/>
    <mergeCell ref="A2:R2"/>
    <mergeCell ref="A4:R4"/>
    <mergeCell ref="A5:R5"/>
  </mergeCells>
  <dataValidations>
    <dataValidation type="list" allowBlank="1" sqref="M7:M17">
      <formula1>"include,maybe,exclude"</formula1>
    </dataValidation>
    <dataValidation type="list" allowBlank="1" sqref="N7:N17">
      <formula1>"CE1,CE2,CE3,CE4,CE5,CE6,CE7"</formula1>
    </dataValidation>
  </dataValidations>
  <printOptions/>
  <pageMargins bottom="0.75" footer="0.0" header="0.0" left="0.7" right="0.7" top="0.75"/>
  <pageSetup orientation="landscape"/>
  <drawing r:id="rId1"/>
  <tableParts count="1">
    <tablePart r:id="rId3"/>
  </tableParts>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xSplit="1.0" ySplit="4.0" topLeftCell="B5" activePane="bottomRight" state="frozen"/>
      <selection activeCell="B1" sqref="B1" pane="topRight"/>
      <selection activeCell="A5" sqref="A5" pane="bottomLeft"/>
      <selection activeCell="B5" sqref="B5" pane="bottomRight"/>
    </sheetView>
  </sheetViews>
  <sheetFormatPr customHeight="1" defaultColWidth="12.63" defaultRowHeight="15.0"/>
  <cols>
    <col customWidth="1" min="1" max="1" width="13.0"/>
    <col customWidth="1" min="2" max="2" width="49.0"/>
    <col customWidth="1" min="3" max="3" width="91.0"/>
    <col customWidth="1" min="4" max="4" width="74.0"/>
    <col customWidth="1" min="5" max="7" width="57.0"/>
    <col customWidth="1" min="8" max="8" width="20.0"/>
    <col customWidth="1" min="9" max="10" width="45.0"/>
    <col customWidth="1" min="11" max="26" width="8.63"/>
  </cols>
  <sheetData>
    <row r="1" ht="36.0" customHeight="1">
      <c r="A1" s="1" t="s">
        <v>29</v>
      </c>
    </row>
    <row r="2" ht="27.75" customHeight="1">
      <c r="A2" s="9" t="s">
        <v>31</v>
      </c>
    </row>
    <row r="4" ht="46.5" customHeight="1">
      <c r="A4" s="12" t="s">
        <v>32</v>
      </c>
      <c r="B4" s="12" t="s">
        <v>35</v>
      </c>
      <c r="C4" s="12" t="s">
        <v>36</v>
      </c>
      <c r="D4" s="12" t="s">
        <v>37</v>
      </c>
      <c r="E4" s="12" t="s">
        <v>39</v>
      </c>
      <c r="F4" s="12" t="s">
        <v>40</v>
      </c>
      <c r="G4" s="12" t="s">
        <v>41</v>
      </c>
      <c r="H4" s="12" t="s">
        <v>42</v>
      </c>
      <c r="I4" s="12" t="s">
        <v>43</v>
      </c>
      <c r="J4" s="12" t="s">
        <v>44</v>
      </c>
    </row>
    <row r="5" ht="229.5" customHeight="1">
      <c r="A5" s="15" t="s">
        <v>45</v>
      </c>
      <c r="B5" s="15" t="s">
        <v>46</v>
      </c>
      <c r="C5" s="15" t="s">
        <v>48</v>
      </c>
      <c r="D5" s="15" t="s">
        <v>49</v>
      </c>
      <c r="E5" s="15" t="s">
        <v>50</v>
      </c>
      <c r="F5" s="15" t="s">
        <v>51</v>
      </c>
      <c r="G5" s="15" t="s">
        <v>53</v>
      </c>
      <c r="H5" s="15" t="s">
        <v>54</v>
      </c>
      <c r="I5" s="15" t="s">
        <v>55</v>
      </c>
      <c r="J5" s="15" t="s">
        <v>57</v>
      </c>
    </row>
    <row r="6" ht="229.5" customHeight="1">
      <c r="A6" s="18" t="s">
        <v>58</v>
      </c>
      <c r="B6" s="18" t="s">
        <v>60</v>
      </c>
      <c r="C6" s="18" t="s">
        <v>61</v>
      </c>
      <c r="D6" s="18" t="s">
        <v>62</v>
      </c>
      <c r="E6" s="18" t="s">
        <v>63</v>
      </c>
      <c r="F6" s="18" t="s">
        <v>64</v>
      </c>
      <c r="G6" s="18" t="s">
        <v>66</v>
      </c>
      <c r="H6" s="18" t="s">
        <v>54</v>
      </c>
      <c r="I6" s="18" t="s">
        <v>68</v>
      </c>
      <c r="J6" s="18" t="s">
        <v>70</v>
      </c>
    </row>
    <row r="7" ht="229.5" customHeight="1">
      <c r="A7" s="15" t="s">
        <v>72</v>
      </c>
      <c r="B7" s="15" t="s">
        <v>73</v>
      </c>
      <c r="C7" s="15" t="s">
        <v>75</v>
      </c>
      <c r="D7" s="15" t="s">
        <v>77</v>
      </c>
      <c r="E7" s="15" t="s">
        <v>79</v>
      </c>
      <c r="F7" s="15" t="s">
        <v>80</v>
      </c>
      <c r="G7" s="15" t="s">
        <v>81</v>
      </c>
      <c r="H7" s="15" t="s">
        <v>82</v>
      </c>
      <c r="I7" s="15" t="s">
        <v>84</v>
      </c>
      <c r="J7" s="15" t="s">
        <v>86</v>
      </c>
    </row>
    <row r="8" ht="229.5" customHeight="1">
      <c r="A8" s="18" t="s">
        <v>88</v>
      </c>
      <c r="B8" s="18" t="s">
        <v>90</v>
      </c>
      <c r="C8" s="18" t="s">
        <v>92</v>
      </c>
      <c r="D8" s="18" t="s">
        <v>93</v>
      </c>
      <c r="E8" s="18" t="s">
        <v>95</v>
      </c>
      <c r="F8" s="18" t="s">
        <v>96</v>
      </c>
      <c r="G8" s="18" t="s">
        <v>98</v>
      </c>
      <c r="H8" s="18" t="s">
        <v>54</v>
      </c>
      <c r="I8" s="18" t="s">
        <v>100</v>
      </c>
      <c r="J8" s="18" t="s">
        <v>102</v>
      </c>
    </row>
    <row r="9" ht="229.5" customHeight="1">
      <c r="A9" s="15" t="s">
        <v>103</v>
      </c>
      <c r="B9" s="15" t="s">
        <v>104</v>
      </c>
      <c r="C9" s="15" t="s">
        <v>105</v>
      </c>
      <c r="D9" s="15" t="s">
        <v>106</v>
      </c>
      <c r="E9" s="15" t="s">
        <v>107</v>
      </c>
      <c r="F9" s="15" t="s">
        <v>109</v>
      </c>
      <c r="G9" s="15" t="s">
        <v>110</v>
      </c>
      <c r="H9" s="15" t="s">
        <v>54</v>
      </c>
      <c r="I9" s="15" t="s">
        <v>113</v>
      </c>
      <c r="J9" s="15" t="s">
        <v>114</v>
      </c>
    </row>
    <row r="10" ht="229.5" customHeight="1">
      <c r="A10" s="18" t="s">
        <v>115</v>
      </c>
      <c r="B10" s="18" t="s">
        <v>117</v>
      </c>
      <c r="C10" s="18" t="s">
        <v>118</v>
      </c>
      <c r="D10" s="18" t="s">
        <v>120</v>
      </c>
      <c r="E10" s="18" t="s">
        <v>121</v>
      </c>
      <c r="F10" s="18" t="s">
        <v>122</v>
      </c>
      <c r="G10" s="18" t="s">
        <v>123</v>
      </c>
      <c r="H10" s="18" t="s">
        <v>54</v>
      </c>
      <c r="I10" s="18"/>
      <c r="J10" s="18" t="s">
        <v>125</v>
      </c>
    </row>
    <row r="11" ht="229.5" customHeight="1">
      <c r="A11" s="15" t="s">
        <v>126</v>
      </c>
      <c r="B11" s="15" t="s">
        <v>127</v>
      </c>
      <c r="C11" s="15" t="s">
        <v>128</v>
      </c>
      <c r="D11" s="15" t="s">
        <v>129</v>
      </c>
      <c r="E11" s="15" t="s">
        <v>130</v>
      </c>
      <c r="F11" s="15" t="s">
        <v>132</v>
      </c>
      <c r="G11" s="15" t="s">
        <v>133</v>
      </c>
      <c r="H11" s="15" t="s">
        <v>82</v>
      </c>
      <c r="I11" s="15" t="s">
        <v>135</v>
      </c>
      <c r="J11" s="15" t="s">
        <v>136</v>
      </c>
    </row>
    <row r="12" ht="229.5" customHeight="1">
      <c r="A12" s="18" t="s">
        <v>137</v>
      </c>
      <c r="B12" s="18" t="s">
        <v>138</v>
      </c>
      <c r="C12" s="18" t="s">
        <v>139</v>
      </c>
      <c r="D12" s="18" t="s">
        <v>140</v>
      </c>
      <c r="E12" s="18" t="s">
        <v>141</v>
      </c>
      <c r="F12" s="18" t="s">
        <v>142</v>
      </c>
      <c r="G12" s="18" t="s">
        <v>143</v>
      </c>
      <c r="H12" s="18" t="s">
        <v>54</v>
      </c>
      <c r="I12" s="18" t="s">
        <v>144</v>
      </c>
      <c r="J12" s="18" t="s">
        <v>145</v>
      </c>
    </row>
    <row r="13" ht="229.5" customHeight="1">
      <c r="A13" s="15" t="s">
        <v>146</v>
      </c>
      <c r="B13" s="15" t="s">
        <v>147</v>
      </c>
      <c r="C13" s="15" t="s">
        <v>148</v>
      </c>
      <c r="D13" s="15" t="s">
        <v>149</v>
      </c>
      <c r="E13" s="15" t="s">
        <v>150</v>
      </c>
      <c r="F13" s="15" t="s">
        <v>151</v>
      </c>
      <c r="G13" s="15" t="s">
        <v>152</v>
      </c>
      <c r="H13" s="15" t="s">
        <v>54</v>
      </c>
      <c r="I13" s="15" t="s">
        <v>153</v>
      </c>
      <c r="J13" s="15" t="s">
        <v>154</v>
      </c>
    </row>
    <row r="14" ht="229.5" customHeight="1">
      <c r="A14" s="18" t="s">
        <v>155</v>
      </c>
      <c r="B14" s="18" t="s">
        <v>156</v>
      </c>
      <c r="C14" s="18" t="s">
        <v>157</v>
      </c>
      <c r="D14" s="18" t="s">
        <v>158</v>
      </c>
      <c r="E14" s="18" t="s">
        <v>159</v>
      </c>
      <c r="F14" s="18" t="s">
        <v>161</v>
      </c>
      <c r="G14" s="18" t="s">
        <v>162</v>
      </c>
      <c r="H14" s="18" t="s">
        <v>54</v>
      </c>
      <c r="I14" s="18"/>
      <c r="J14" s="18" t="s">
        <v>164</v>
      </c>
    </row>
    <row r="15" ht="229.5" customHeight="1">
      <c r="A15" s="15" t="s">
        <v>165</v>
      </c>
      <c r="B15" s="15" t="s">
        <v>166</v>
      </c>
      <c r="C15" s="15" t="s">
        <v>168</v>
      </c>
      <c r="D15" s="15" t="s">
        <v>169</v>
      </c>
      <c r="E15" s="15" t="s">
        <v>170</v>
      </c>
      <c r="F15" s="15" t="s">
        <v>171</v>
      </c>
      <c r="G15" s="15" t="s">
        <v>173</v>
      </c>
      <c r="H15" s="15" t="s">
        <v>82</v>
      </c>
      <c r="I15" s="15" t="s">
        <v>174</v>
      </c>
      <c r="J15" s="15" t="s">
        <v>175</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J1"/>
    <mergeCell ref="A2:J2"/>
  </mergeCells>
  <printOptions/>
  <pageMargins bottom="0.75" footer="0.0" header="0.0" left="0.7" right="0.7" top="0.75"/>
  <pageSetup orientation="landscape"/>
  <drawing r:id="rId1"/>
  <tableParts count="1">
    <tablePart r:id="rId3"/>
  </tableParts>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25.0"/>
    <col customWidth="1" min="2" max="2" width="105.0"/>
    <col customWidth="1" min="3" max="4" width="19.0"/>
    <col customWidth="1" min="5" max="26" width="8.63"/>
  </cols>
  <sheetData>
    <row r="1" ht="36.75" customHeight="1">
      <c r="A1" s="1" t="s">
        <v>0</v>
      </c>
    </row>
    <row r="3" ht="24.75" customHeight="1">
      <c r="A3" s="2" t="s">
        <v>1</v>
      </c>
      <c r="B3" s="2" t="s">
        <v>2</v>
      </c>
    </row>
    <row r="4" ht="72.75" customHeight="1">
      <c r="A4" s="3" t="s">
        <v>3</v>
      </c>
      <c r="B4" s="3" t="s">
        <v>4</v>
      </c>
    </row>
    <row r="5" ht="72.75" customHeight="1">
      <c r="A5" s="4" t="s">
        <v>5</v>
      </c>
      <c r="B5" s="4" t="s">
        <v>6</v>
      </c>
    </row>
    <row r="6" ht="72.75" customHeight="1">
      <c r="A6" s="3" t="s">
        <v>7</v>
      </c>
      <c r="B6" s="3" t="s">
        <v>8</v>
      </c>
    </row>
    <row r="7" ht="72.75" customHeight="1">
      <c r="A7" s="4" t="s">
        <v>9</v>
      </c>
      <c r="B7" s="4" t="s">
        <v>10</v>
      </c>
    </row>
    <row r="8" ht="72.75" customHeight="1">
      <c r="A8" s="3" t="s">
        <v>11</v>
      </c>
      <c r="B8" s="3" t="s">
        <v>12</v>
      </c>
    </row>
    <row r="9" ht="72.75" customHeight="1">
      <c r="A9" s="4" t="s">
        <v>13</v>
      </c>
      <c r="B9" s="4" t="s">
        <v>14</v>
      </c>
    </row>
    <row r="11" ht="30.0" customHeight="1">
      <c r="A11" s="5" t="s">
        <v>15</v>
      </c>
    </row>
    <row r="12" ht="48.75" customHeight="1">
      <c r="A12" s="6" t="s">
        <v>16</v>
      </c>
      <c r="B12" s="6" t="s">
        <v>17</v>
      </c>
    </row>
    <row r="13" ht="48.75" customHeight="1">
      <c r="A13" s="7" t="s">
        <v>18</v>
      </c>
      <c r="B13" s="7" t="s">
        <v>19</v>
      </c>
    </row>
    <row r="14" ht="48.75" customHeight="1">
      <c r="A14" s="6" t="s">
        <v>20</v>
      </c>
      <c r="B14" s="6" t="s">
        <v>21</v>
      </c>
    </row>
    <row r="15" ht="48.75" customHeight="1">
      <c r="A15" s="7" t="s">
        <v>22</v>
      </c>
      <c r="B15" s="7" t="s">
        <v>23</v>
      </c>
    </row>
    <row r="16" ht="48.75" customHeight="1">
      <c r="A16" s="6" t="s">
        <v>24</v>
      </c>
      <c r="B16" s="6" t="s">
        <v>25</v>
      </c>
    </row>
    <row r="17" ht="48.75" customHeight="1">
      <c r="A17" s="7" t="s">
        <v>26</v>
      </c>
      <c r="B17" s="7" t="s">
        <v>27</v>
      </c>
    </row>
    <row r="19" ht="43.5" customHeight="1">
      <c r="A19" s="8" t="s">
        <v>28</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3">
    <mergeCell ref="A1:D1"/>
    <mergeCell ref="A11:D11"/>
    <mergeCell ref="A19:D19"/>
  </mergeCells>
  <printOptions/>
  <pageMargins bottom="0.75" footer="0.0" header="0.0" left="0.7" right="0.7" top="0.75"/>
  <pageSetup orientation="landscape"/>
  <drawing r:id="rId1"/>
</worksheet>
</file>