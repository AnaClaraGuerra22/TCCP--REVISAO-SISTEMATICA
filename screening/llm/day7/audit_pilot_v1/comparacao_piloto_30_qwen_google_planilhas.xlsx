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5909bb0dc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ec71f5b74f74448"/>
    <x:sheet xmlns:r="http://schemas.openxmlformats.org/officeDocument/2006/relationships" name="COMPARACAO_30" sheetId="2" r:id="R156e584103ec4375"/>
    <x:sheet xmlns:r="http://schemas.openxmlformats.org/officeDocument/2006/relationships" name="REVISAR_11" sheetId="3" r:id="R69da1c5cb36b46bf"/>
    <x:sheet xmlns:r="http://schemas.openxmlformats.org/officeDocument/2006/relationships" name="NOTAS_METODOLOGICAS" sheetId="4" r:id="Rd7a831eeb24647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i/>
      <x:sz val="11"/>
      <x:color rgb="FF17324D"/>
      <x:name val="Carlito"/>
    </x:font>
    <x:font>
      <x:b/>
      <x:sz val="11"/>
      <x:color rgb="FF203247"/>
      <x:name val="Carlito"/>
    </x:font>
    <x:font>
      <x:sz val="11"/>
      <x:color rgb="FF2032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3D8"/>
      </x:patternFill>
    </x:fill>
    <x:fill>
      <x:patternFill patternType="solid">
        <x:fgColor rgb="FFE9F1FA"/>
      </x:patternFill>
    </x:fill>
    <x:fill>
      <x:patternFill patternType="solid">
        <x:fgColor rgb="FFFFE2DE"/>
      </x:patternFill>
    </x:fill>
    <x:fill>
      <x:patternFill patternType="solid">
        <x:fgColor rgb="FFE5F5EE"/>
      </x:patternFill>
    </x:fill>
    <x:fill>
      <x:patternFill patternType="solid">
        <x:fgColor rgb="FFFFF0D6"/>
      </x:patternFill>
    </x:fill>
    <x:fill>
      <x:patternFill patternType="solid">
        <x:fgColor rgb="FFECF4F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8" borderId="0" xfId="0" applyNumberFormat="1" applyFont="1" applyFill="1" applyBorder="1"/>
    <x:xf numFmtId="201" fontId="0" fillId="8" borderId="0" xfId="0" applyNumberFormat="1" applyFont="1" applyFill="1" applyBorder="1"/>
    <x:xf numFmtId="200" fontId="0" fillId="8" borderId="1" xfId="0" applyNumberFormat="1" applyFont="1" applyFill="1" applyBorder="1"/>
    <x:xf numFmtId="201" fontId="0" fillId="8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4213508834465" /><Relationship Type="http://schemas.openxmlformats.org/officeDocument/2006/relationships/theme" Target="/xl/theme/theme1.xml" Id="Re4fc1302dca641e5" /><Relationship Type="http://schemas.openxmlformats.org/officeDocument/2006/relationships/sharedStrings" Target="/xl/sharedStrings.xml" Id="R12cbc060da304598" /><Relationship Type="http://schemas.openxmlformats.org/officeDocument/2006/relationships/worksheet" Target="/xl/worksheets/sheet1.xml" Id="R0ec71f5b74f74448" /><Relationship Type="http://schemas.openxmlformats.org/officeDocument/2006/relationships/worksheet" Target="/xl/worksheets/sheet2.xml" Id="R156e584103ec4375" /><Relationship Type="http://schemas.openxmlformats.org/officeDocument/2006/relationships/worksheet" Target="/xl/worksheets/sheet3.xml" Id="R69da1c5cb36b46bf" /><Relationship Type="http://schemas.openxmlformats.org/officeDocument/2006/relationships/worksheet" Target="/xl/worksheets/sheet4.xml" Id="Rd7a831eeb24647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2" hidden="0" customWidth="1"/>
    <x:col min="3" max="3" width="24" hidden="0" customWidth="1"/>
    <x:col min="4" max="4" width="25" hidden="0" customWidth="1"/>
    <x:col min="5" max="5" width="22" hidden="0" customWidth="1"/>
    <x:col min="6" max="6" width="24" hidden="0" customWidth="1"/>
  </x:cols>
  <x:sheetData>
    <x:row r="1" ht="29" customHeight="1">
      <x:c r="A1" s="21" t="str">
        <x:v>PILOTO DE TRIAGEM — COMPARAÇÃO QWEN × DECISÕES REGISTRADAS</x:v>
      </x:c>
      <x:c r="B1" s="21"/>
      <x:c r="C1" s="21"/>
      <x:c r="D1" s="21"/>
      <x:c r="E1" s="21"/>
      <x:c r="F1" s="21"/>
    </x:row>
    <x:row r="2" ht="29" customHeight="1">
      <x:c r="A2" s="21"/>
      <x:c r="B2" s="21"/>
      <x:c r="C2" s="21"/>
      <x:c r="D2" s="21"/>
      <x:c r="E2" s="21"/>
      <x:c r="F2" s="21"/>
    </x:row>
    <x:row r="3" ht="24" customHeight="1">
      <x:c r="A3" s="25" t="str">
        <x:v>Revisão sistemática | Título e resumo | 30 registros selecionados por estratos da sugestão do modelo</x:v>
      </x:c>
      <x:c r="B3" s="25"/>
      <x:c r="C3" s="25"/>
      <x:c r="D3" s="25"/>
      <x:c r="E3" s="25"/>
      <x:c r="F3" s="25"/>
    </x:row>
    <x:row r="5" ht="28" customHeight="1">
      <x:c r="A5" s="4" t="str">
        <x:v>INDICADOR</x:v>
      </x:c>
      <x:c r="B5" s="4" t="str">
        <x:v>RESULTADO</x:v>
      </x:c>
    </x:row>
    <x:row r="6" ht="25" customHeight="1">
      <x:c r="A6" t="str">
        <x:v>Registros comparados</x:v>
      </x:c>
      <x:c r="B6" s="24" t="n">
        <x:f>COUNTA(COMPARACAO_30!B2:B31)</x:f>
        <x:v>30</x:v>
      </x:c>
    </x:row>
    <x:row r="7" ht="25" customHeight="1">
      <x:c r="A7" t="str">
        <x:v>Decisões iguais</x:v>
      </x:c>
      <x:c r="B7" s="24" t="n">
        <x:f>COUNTIF(COMPARACAO_30!H2:H31,"CONCORDANTE")+COUNTIF(COMPARACAO_30!H2:H31,"MESMA DECISÃO; CÓDIGO DIFERENTE")</x:f>
        <x:v>20</x:v>
      </x:c>
    </x:row>
    <x:row r="8" ht="25" customHeight="1">
      <x:c r="A8" t="str">
        <x:v>Decisões divergentes</x:v>
      </x:c>
      <x:c r="B8" s="36" t="n">
        <x:f>B6-B7</x:f>
        <x:v>10</x:v>
      </x:c>
    </x:row>
    <x:row r="9" ht="25" customHeight="1">
      <x:c r="A9" t="str">
        <x:v>Concordância bruta</x:v>
      </x:c>
      <x:c r="B9" s="32" t="n">
        <x:f>B7/B6</x:f>
        <x:v>0.6666666666666666</x:v>
      </x:c>
    </x:row>
    <x:row r="10" ht="25" customHeight="1">
      <x:c r="A10" t="str">
        <x:v>Kappa de Cohen (descritivo)</x:v>
      </x:c>
      <x:c r="B10" s="33" t="n">
        <x:f>(B9-(D17*B20+D18*C20+D19*E20)/(B6^2))/(1-(D17*B20+D18*C20+D19*E20)/(B6^2))</x:f>
        <x:v>0.49999999999999994</x:v>
      </x:c>
    </x:row>
    <x:row r="11" ht="25" customHeight="1">
      <x:c r="A11" t="str">
        <x:v>Códigos de exclusão diferentes</x:v>
      </x:c>
      <x:c r="B11" s="24" t="n">
        <x:f>COUNTIF(COMPARACAO_30!H2:H31,"MESMA DECISÃO; CÓDIGO DIFERENTE")</x:f>
        <x:v>1</x:v>
      </x:c>
    </x:row>
    <x:row r="12" ht="25" customHeight="1">
      <x:c r="A12" t="str">
        <x:v>Faltam justificativas</x:v>
      </x:c>
      <x:c r="B12" s="24" t="n">
        <x:f>COUNTBLANK(COMPARACAO_30!I2:I31)</x:f>
        <x:v>0</x:v>
      </x:c>
    </x:row>
    <x:row r="13" ht="25" customHeight="1">
      <x:c r="A13" t="str">
        <x:v>Tempos preenchidos</x:v>
      </x:c>
      <x:c r="B13" s="24" t="n">
        <x:f>COUNT(COMPARACAO_30!N2:N31)</x:f>
        <x:v>0</x:v>
      </x:c>
    </x:row>
    <x:row r="16" ht="27" customHeight="1">
      <x:c r="A16" s="4" t="str">
        <x:v>DECISÃO</x:v>
      </x:c>
      <x:c r="B16" s="4" t="str">
        <x:v>QWEN INCLUDE</x:v>
      </x:c>
      <x:c r="C16" s="4" t="str">
        <x:v>QWEN EXCLUDE</x:v>
      </x:c>
      <x:c r="D16" s="4" t="str">
        <x:v>TOTAL REGISTRADO</x:v>
      </x:c>
      <x:c r="E16" s="4" t="str">
        <x:v>QWEN MAYBE</x:v>
      </x:c>
    </x:row>
    <x:row r="17" ht="27" customHeight="1">
      <x:c r="A17" t="str">
        <x:v>include</x:v>
      </x:c>
      <x:c r="B17" t="n">
        <x:f>COUNTIFS(COMPARACAO_30!D2:D31,A17,COMPARACAO_30!F2:F31,"include")</x:f>
        <x:v>6</x:v>
      </x:c>
      <x:c r="C17" t="n">
        <x:f>COUNTIFS(COMPARACAO_30!D2:D31,A17,COMPARACAO_30!F2:F31,"exclude")</x:f>
        <x:v>0</x:v>
      </x:c>
      <x:c r="D17" t="n">
        <x:f>COUNTIF(COMPARACAO_30!D2:D31,A17)</x:f>
        <x:v>6</x:v>
      </x:c>
      <x:c r="E17" t="n">
        <x:f>COUNTIFS(COMPARACAO_30!D2:D31,A17,COMPARACAO_30!F2:F31,"maybe")</x:f>
        <x:v>0</x:v>
      </x:c>
    </x:row>
    <x:row r="18" ht="27" customHeight="1">
      <x:c r="A18" t="str">
        <x:v>exclude</x:v>
      </x:c>
      <x:c r="B18" t="n">
        <x:f>COUNTIFS(COMPARACAO_30!D2:D31,A18,COMPARACAO_30!F2:F31,"include")</x:f>
        <x:v>2</x:v>
      </x:c>
      <x:c r="C18" t="n">
        <x:f>COUNTIFS(COMPARACAO_30!D2:D31,A18,COMPARACAO_30!F2:F31,"exclude")</x:f>
        <x:v>10</x:v>
      </x:c>
      <x:c r="D18" t="n">
        <x:f>COUNTIF(COMPARACAO_30!D2:D31,A18)</x:f>
        <x:v>18</x:v>
      </x:c>
      <x:c r="E18" t="n">
        <x:f>COUNTIFS(COMPARACAO_30!D2:D31,A18,COMPARACAO_30!F2:F31,"maybe")</x:f>
        <x:v>6</x:v>
      </x:c>
    </x:row>
    <x:row r="19" ht="27" customHeight="1">
      <x:c r="A19" t="str">
        <x:v>maybe</x:v>
      </x:c>
      <x:c r="B19" t="n">
        <x:f>COUNTIFS(COMPARACAO_30!D2:D31,A19,COMPARACAO_30!F2:F31,"include")</x:f>
        <x:v>2</x:v>
      </x:c>
      <x:c r="C19" t="n">
        <x:f>COUNTIFS(COMPARACAO_30!D2:D31,A19,COMPARACAO_30!F2:F31,"exclude")</x:f>
        <x:v>0</x:v>
      </x:c>
      <x:c r="D19" t="n">
        <x:f>COUNTIF(COMPARACAO_30!D2:D31,A19)</x:f>
        <x:v>6</x:v>
      </x:c>
      <x:c r="E19" t="n">
        <x:f>COUNTIFS(COMPARACAO_30!D2:D31,A19,COMPARACAO_30!F2:F31,"maybe")</x:f>
        <x:v>4</x:v>
      </x:c>
    </x:row>
    <x:row r="20" ht="27" customHeight="1">
      <x:c r="A20" s="24" t="str">
        <x:v>Total Qwen</x:v>
      </x:c>
      <x:c r="B20" s="24" t="n">
        <x:f>SUM(B17:B19)</x:f>
        <x:v>10</x:v>
      </x:c>
      <x:c r="C20" s="24" t="n">
        <x:f>SUM(C17:C19)</x:f>
        <x:v>10</x:v>
      </x:c>
      <x:c r="D20" s="24" t="n">
        <x:f>SUM(D17:D19)</x:f>
        <x:v>30</x:v>
      </x:c>
      <x:c r="E20" s="24" t="n">
        <x:f>SUM(E17:E19)</x:f>
        <x:v>10</x:v>
      </x:c>
    </x:row>
    <x:row r="23" ht="35" customHeight="1">
      <x:c r="A23" s="40" t="str">
        <x:v>LEITURA CORRETA: resultado descritivo de decisões registradas com auxílio do ChatGPT. NÃO é validação independente, nem comprova segurança para exclusões automáticas dos outros 241 registros sugeridos como exclude.</x:v>
      </x:c>
      <x:c r="B23" s="40"/>
      <x:c r="C23" s="40"/>
      <x:c r="D23" s="40"/>
      <x:c r="E23" s="40"/>
      <x:c r="F23" s="40"/>
    </x:row>
    <x:row r="24" ht="35" customHeight="1">
      <x:c r="A24" s="40"/>
      <x:c r="B24" s="40"/>
      <x:c r="C24" s="40"/>
      <x:c r="D24" s="40"/>
      <x:c r="E24" s="40"/>
      <x:c r="F24" s="40"/>
    </x:row>
    <x:row r="26" ht="35" customHeight="1">
      <x:c r="A26" s="47" t="str">
        <x:v>Os 10 registros com sugestão exclude do Qwen receberam exclude na planilha, mas R0280 teve código diferente (CE4 no Qwen; CE1 na planilha). Existem 10 divergências de decisão + 1 divergência exclusivamente de código.</x:v>
      </x:c>
      <x:c r="B26" s="47"/>
      <x:c r="C26" s="47"/>
      <x:c r="D26" s="47"/>
      <x:c r="E26" s="47"/>
      <x:c r="F26" s="47"/>
    </x:row>
    <x:row r="27" ht="35" customHeight="1">
      <x:c r="A27" s="47"/>
      <x:c r="B27" s="47"/>
      <x:c r="C27" s="47"/>
      <x:c r="D27" s="47"/>
      <x:c r="E27" s="47"/>
      <x:c r="F27" s="47"/>
    </x:row>
  </x:sheetData>
  <x:mergeCells>
    <x:mergeCell ref="A1:F2"/>
    <x:mergeCell ref="A3:F3"/>
    <x:mergeCell ref="A23:F24"/>
    <x:mergeCell ref="A26:F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13" hidden="0" customWidth="1"/>
    <x:col min="3" max="3" width="52" hidden="0" customWidth="1"/>
    <x:col min="4" max="4" width="21" hidden="0" customWidth="1"/>
    <x:col min="5" max="5" width="13" hidden="0" customWidth="1"/>
    <x:col min="6" max="6" width="18" hidden="0" customWidth="1"/>
    <x:col min="7" max="7" width="15" hidden="0" customWidth="1"/>
    <x:col min="8" max="8" width="35" hidden="0" customWidth="1"/>
    <x:col min="9" max="9" width="63" hidden="0" customWidth="1"/>
    <x:col min="10" max="10" width="60" hidden="0" customWidth="1"/>
    <x:col min="11" max="11" width="60" hidden="0" customWidth="1"/>
    <x:col min="12" max="12" width="60" hidden="0" customWidth="1"/>
    <x:col min="13" max="13" width="10" hidden="0" customWidth="1"/>
    <x:col min="14" max="14" width="13" hidden="0" customWidth="1"/>
  </x:cols>
  <x:sheetData>
    <x:row r="1" ht="28" customHeight="1">
      <x:c r="A1" s="4" t="str">
        <x:v>ORDEM</x:v>
      </x:c>
      <x:c r="B1" s="4" t="str">
        <x:v>ID</x:v>
      </x:c>
      <x:c r="C1" s="4" t="str">
        <x:v>TÍTULO</x:v>
      </x:c>
      <x:c r="D1" s="4" t="str">
        <x:v>DECISÃO REGISTRADA*</x:v>
      </x:c>
      <x:c r="E1" s="4" t="str">
        <x:v>CÓDIGO CE</x:v>
      </x:c>
      <x:c r="F1" s="4" t="str">
        <x:v>SUGESTÃO QWEN</x:v>
      </x:c>
      <x:c r="G1" s="4" t="str">
        <x:v>CÓDIGO QWEN</x:v>
      </x:c>
      <x:c r="H1" s="4" t="str">
        <x:v>COMPARAÇÃO</x:v>
      </x:c>
      <x:c r="I1" s="4" t="str">
        <x:v>JUSTIFICATIVA REGISTRADA</x:v>
      </x:c>
      <x:c r="J1" s="4" t="str">
        <x:v>EVIDÊNCIA QWEN: AMBIENTAL</x:v>
      </x:c>
      <x:c r="K1" s="4" t="str">
        <x:v>EVIDÊNCIA QWEN: RAG</x:v>
      </x:c>
      <x:c r="L1" s="4" t="str">
        <x:v>EVIDÊNCIA QWEN: EMPÍRICO</x:v>
      </x:c>
      <x:c r="M1" s="4" t="str">
        <x:v>LOTE</x:v>
      </x:c>
      <x:c r="N1" s="4" t="str">
        <x:v>TEMPO (s)</x:v>
      </x:c>
    </x:row>
    <x:row r="2" ht="42" customHeight="1">
      <x:c r="A2" t="n">
        <x:v>1</x:v>
      </x:c>
      <x:c r="B2" t="str">
        <x:v>R0403</x:v>
      </x:c>
      <x:c r="C2" s="8" t="str">
        <x:v>Development of an AI-Assisted LoRa-Based Monitoring and Control System with RAG-Enabled Chatbot for Sacha Inchi Cultivation</x:v>
      </x:c>
      <x:c r="D2" s="10" t="str">
        <x:v>exclude</x:v>
      </x:c>
      <x:c r="E2" s="10" t="str">
        <x:v>CE2</x:v>
      </x:c>
      <x:c r="F2" s="12" t="str">
        <x:v>include</x:v>
      </x:c>
      <x:c r="G2" s="12" t="str"/>
      <x:c r="H2" s="14" t="str">
        <x:v>DIVERGÊNCIA NA DECISÃO</x:v>
      </x:c>
      <x:c r="I2" s="8" t="str">
        <x:v>Aplicação RAG voltada ao monitoramento e controle operacional do cultivo agrícola, com foco na produtividade e no desempenho do sistema. Embora envolva irrigação e gestão de recursos, o resumo não apresenta finalidade ambiental ou de sustentabilidade substantiva, conforme o critério CE2.</x:v>
      </x:c>
      <x:c r="J2" s="8" t="str">
        <x:v>The study addresses precision agriculture for Sacha Inchi cultivation, which involves climate adaptation, resource efficiency, and sustainable irrigation practices.</x:v>
      </x:c>
      <x:c r="K2" s="8" t="str">
        <x:v>The system integrates a RAG-enabled chatbot that queries a knowledge base of project documentation and historical sensor data to perform complex analytical queries.</x:v>
      </x:c>
      <x:c r="L2" s="8" t="str">
        <x:v>Testing results demonstrate the system's high responsiveness with an average control command latency of 1.4 seconds and a 90% success rate in handling complex queries.</x:v>
      </x:c>
      <x:c r="M2" t="str">
        <x:v>03</x:v>
      </x:c>
      <x:c r="N2"/>
    </x:row>
    <x:row r="3" ht="42" customHeight="1">
      <x:c r="A3" t="n">
        <x:v>2</x:v>
      </x:c>
      <x:c r="B3" t="str">
        <x:v>R0471</x:v>
      </x:c>
      <x:c r="C3" s="8" t="str">
        <x:v>Domain-specific embedding models for hydrology and environmental sciences: enhancing semantic retrieval and question answering</x:v>
      </x:c>
      <x:c r="D3" s="10" t="str">
        <x:v>include</x:v>
      </x:c>
      <x:c r="E3" s="10" t="str"/>
      <x:c r="F3" s="12" t="str">
        <x:v>include</x:v>
      </x:c>
      <x:c r="G3" s="12" t="str"/>
      <x:c r="H3" s="16" t="str">
        <x:v>CONCORDANTE</x:v>
      </x:c>
      <x:c r="I3" s="8" t="str">
        <x:v>Estudo primário com avaliação empírica de modelos de embeddings especializados em hidrologia e ciências ambientais, integrados à recuperação de contexto e à geração de respostas pelo GPT-4o-mini. Apresenta aplicação RAG no domínio ambiental e resultados experimentais com 400 pares de perguntas e respostas.</x:v>
      </x:c>
      <x:c r="J3" s="8" t="str">
        <x:v>Explicitly addresses hydrology and environmental sciences, with focus on domain-specific applications in environmental science and ecological contexts.</x:v>
      </x:c>
      <x:c r="K3" s="8" t="str">
        <x:v>Study uses top-k similarity-based context retrieval with GPT-4o-mini for answer generation, incorporating retrieved information into generative model output.</x:v>
      </x:c>
      <x:c r="L3" s="8" t="str">
        <x:v>Evaluation conducted on held-out set of 400 textbook-derived QA pairs using quantitative metrics showing performance comparisons against baselines.</x:v>
      </x:c>
      <x:c r="M3" t="str">
        <x:v>03</x:v>
      </x:c>
      <x:c r="N3"/>
    </x:row>
    <x:row r="4" ht="42" customHeight="1">
      <x:c r="A4" t="n">
        <x:v>3</x:v>
      </x:c>
      <x:c r="B4" t="str">
        <x:v>R0345</x:v>
      </x:c>
      <x:c r="C4" s="8" t="str">
        <x:v>The Use of Large Language Models in Sustainability Reporting: Performance Analysis of RAG and LoRA Techniques</x:v>
      </x:c>
      <x:c r="D4" s="10" t="str">
        <x:v>maybe</x:v>
      </x:c>
      <x:c r="E4" s="10" t="str"/>
      <x:c r="F4" s="12" t="str">
        <x:v>maybe</x:v>
      </x:c>
      <x:c r="G4" s="12" t="str"/>
      <x:c r="H4" s="16" t="str">
        <x:v>CONCORDANTE</x:v>
      </x:c>
      <x:c r="I4" s="8" t="str">
        <x:v>studo primário com avaliação empírica de RAG aplicado a relatórios ESG, comparando seu desempenho com LoRA. Entretanto, o resumo não demonstra se a dimensão ambiental é analisada de forma substantiva e separável das dimensões social e de governança. Conforme o protocolo, é necessária a leitura do texto completo para verificar a elegibilidade pelo critério CE2.</x:v>
      </x:c>
      <x:c r="J4" s="8" t="str">
        <x:v>The study analyzes 30 food-sector ESG reports</x:v>
      </x:c>
      <x:c r="K4" s="8" t="str">
        <x:v>RAG retrieves target report at inference</x:v>
      </x:c>
      <x:c r="L4" s="8" t="str">
        <x:v>LoRA achieved higher mean scores than RAG on four quality metrics</x:v>
      </x:c>
      <x:c r="M4" t="str">
        <x:v>02</x:v>
      </x:c>
      <x:c r="N4"/>
    </x:row>
    <x:row r="5" ht="42" customHeight="1">
      <x:c r="A5" t="n">
        <x:v>4</x:v>
      </x:c>
      <x:c r="B5" t="str">
        <x:v>R0565</x:v>
      </x:c>
      <x:c r="C5" s="8" t="str">
        <x:v>VETRA: Verifiable Transparency Contracts for Agentic Network Management</x:v>
      </x:c>
      <x:c r="D5" s="10" t="str">
        <x:v>exclude</x:v>
      </x:c>
      <x:c r="E5" s="10" t="str">
        <x:v>CE2</x:v>
      </x:c>
      <x:c r="F5" s="12" t="str">
        <x:v>exclude</x:v>
      </x:c>
      <x:c r="G5" s="12" t="str">
        <x:v>CE2</x:v>
      </x:c>
      <x:c r="H5" s="16" t="str">
        <x:v>CONCORDANTE</x:v>
      </x:c>
      <x:c r="I5" s="8" t="str">
        <x:v>studo voltado à gestão de redes computacionais, diagnóstico de incidentes e rastreabilidade de decisões de agentes LLM. Embora apresente avaliação empírica, não possui aplicação ambiental, climática ou de sustentabilidade ambiental substantiva, estando fora do escopo da revisão.</x:v>
      </x:c>
      <x:c r="J5" s="8" t="str">
        <x:v>The record focuses on network management and AI systems without explicit environmental, ecological, or sustainability issues.</x:v>
      </x:c>
      <x:c r="K5" s="8" t="str">
        <x:v>The record explicitly mentions 'Retrieval augmented generation' in index keywords and describes a system that uses retrieved information to gate execution via Deterministic Verification Module.</x:v>
      </x:c>
      <x:c r="L5" s="8" t="str">
        <x:v>The study evaluates VETRA on 100 incidents from SOFI across three LLMs and compares results with baselines, reporting specific metrics like 88% contract pass rate and 100% Verifiable Support Rate.</x:v>
      </x:c>
      <x:c r="M5" t="str">
        <x:v>03</x:v>
      </x:c>
      <x:c r="N5"/>
    </x:row>
    <x:row r="6" ht="42" customHeight="1">
      <x:c r="A6" t="n">
        <x:v>5</x:v>
      </x:c>
      <x:c r="B6" t="str">
        <x:v>R0011</x:v>
      </x:c>
      <x:c r="C6" s="8" t="str">
        <x:v>11th International Conference on e-Society, e-Learning, and e-Technologies, ICSLT 2025</x:v>
      </x:c>
      <x:c r="D6" s="10" t="str">
        <x:v>exclude</x:v>
      </x:c>
      <x:c r="E6" s="10" t="str">
        <x:v>CE3</x:v>
      </x:c>
      <x:c r="F6" s="12" t="str">
        <x:v>exclude</x:v>
      </x:c>
      <x:c r="G6" s="12" t="str">
        <x:v>CE3</x:v>
      </x:c>
      <x:c r="H6" s="16" t="str">
        <x:v>CONCORDANTE</x:v>
      </x:c>
      <x:c r="I6" s="8" t="str">
        <x:v>Registro referente aos anais de uma conferência que reúne 26 trabalhos, e não a um estudo primário individual. O resumo apenas apresenta os temas e títulos dos artigos publicados, sem descrever uma pesquisa original com aplicação e avaliação empírica de RAG. Portanto, enquadra-se no critério CE3 — estudo secundário ou publicação não primária.</x:v>
      </x:c>
      <x:c r="J6" s="8" t="str">
        <x:v>One paper mentions 'spatial Equity Analysis of Teacher Learning Distance in Taiwan: An Environmental Perspective'</x:v>
      </x:c>
      <x:c r="K6" s="8" t="str">
        <x:v>Some papers mention RAG but not clear if retrieval and generative use are both present</x:v>
      </x:c>
      <x:c r="L6" s="8" t="str">
        <x:v>Some papers describe evaluations but not clear if empirical evaluation was conducted</x:v>
      </x:c>
      <x:c r="M6" t="str">
        <x:v>01</x:v>
      </x:c>
      <x:c r="N6"/>
    </x:row>
    <x:row r="7" ht="42" customHeight="1">
      <x:c r="A7" t="n">
        <x:v>6</x:v>
      </x:c>
      <x:c r="B7" t="str">
        <x:v>R0163</x:v>
      </x:c>
      <x:c r="C7" s="8" t="str">
        <x:v>Three-River-Source Ecological Information Knowledge Q&amp;A Based on Zero-Shot Learning and Retrieval-Enhanced Generation</x:v>
      </x:c>
      <x:c r="D7" s="10" t="str">
        <x:v>include</x:v>
      </x:c>
      <x:c r="E7" s="10" t="str"/>
      <x:c r="F7" s="12" t="str">
        <x:v>include</x:v>
      </x:c>
      <x:c r="G7" s="12" t="str"/>
      <x:c r="H7" s="16" t="str">
        <x:v>CONCORDANTE</x:v>
      </x:c>
      <x:c r="I7" s="8" t="str">
        <x:v>Estudo primário com aplicação explícita de RAG no domínio ecológico, utilizando dados de clima, hidrologia e biodiversidade. Apresenta avaliação empírica comparativa com métricas de desempenho (exact match e accuracy) e demonstra potencial de apoio prático ao planejamento de conservação e à formulação de políticas, estando alinhado ao escopo ambiental da revisão.</x:v>
      </x:c>
      <x:c r="J7" s="8" t="str">
        <x:v>Focuses on ecological knowledge Q&amp;A for the Three-River-Source region with climate, hydrology, and biodiversity data</x:v>
      </x:c>
      <x:c r="K7" s="8" t="str">
        <x:v>ZRQA-RAG integrates a semantic retriever with a lightweight generator for ecological knowledge Q&amp;A</x:v>
      </x:c>
      <x:c r="L7" s="8" t="str">
        <x:v>Reports exact match (69.1%) and accuracy (83.5%) metrics compared to baselines</x:v>
      </x:c>
      <x:c r="M7" t="str">
        <x:v>01</x:v>
      </x:c>
      <x:c r="N7"/>
    </x:row>
    <x:row r="8" ht="42" customHeight="1">
      <x:c r="A8" t="n">
        <x:v>7</x:v>
      </x:c>
      <x:c r="B8" t="str">
        <x:v>R0517</x:v>
      </x:c>
      <x:c r="C8" s="8" t="str">
        <x:v>Federated Retrieval-Augmented Generation-Based LLM for Enhanced Cyber Threat Detection in the Internet-of-Energy</x:v>
      </x:c>
      <x:c r="D8" s="10" t="str">
        <x:v>exclude</x:v>
      </x:c>
      <x:c r="E8" s="10" t="str">
        <x:v>CE2</x:v>
      </x:c>
      <x:c r="F8" s="12" t="str">
        <x:v>exclude</x:v>
      </x:c>
      <x:c r="G8" s="12" t="str">
        <x:v>CE2</x:v>
      </x:c>
      <x:c r="H8" s="16" t="str">
        <x:v>CONCORDANTE</x:v>
      </x:c>
      <x:c r="I8" s="8" t="str">
        <x:v>studo primário com aplicação de RAG e avaliação empírica, porém voltado à detecção de ameaças cibernéticas e à análise de logs em infraestruturas energéticas. Embora mencione redes inteligentes e fontes renováveis, não apresenta finalidade ambiental ou de sustentabilidade substantiva. O foco está na segurança cibernética, eficiência de detecção e privacidade dos dados, enquadrando-se no critério CE2.</x:v>
      </x:c>
      <x:c r="J8" s="8" t="str">
        <x:v>The study focuses on cyber threat detection in Internet-of-Energy systems without explicit environmental, ecological, or sustainability issues.</x:v>
      </x:c>
      <x:c r="K8" s="8" t="str">
        <x:v>The system uses federated retrieval augmented generation (FeRAG) with explicit integration of retrieved information into the generative model for log analysis.</x:v>
      </x:c>
      <x:c r="L8" s="8" t="str">
        <x:v>The abstract reports experimental results demonstrating improvements of FeRAG over other LLM-driven log analysis methods in precision.</x:v>
      </x:c>
      <x:c r="M8" t="str">
        <x:v>03</x:v>
      </x:c>
      <x:c r="N8"/>
    </x:row>
    <x:row r="9" ht="42" customHeight="1">
      <x:c r="A9" t="n">
        <x:v>8</x:v>
      </x:c>
      <x:c r="B9" t="str">
        <x:v>R0204</x:v>
      </x:c>
      <x:c r="C9" s="8" t="str">
        <x:v>Attentive Retrieval-Augmented Generation with Large Language Models for Simulation-Data Enhanced Router Performance Estimation</x:v>
      </x:c>
      <x:c r="D9" s="10" t="str">
        <x:v>exclude</x:v>
      </x:c>
      <x:c r="E9" s="10" t="str">
        <x:v>CE2</x:v>
      </x:c>
      <x:c r="F9" s="12" t="str">
        <x:v>exclude</x:v>
      </x:c>
      <x:c r="G9" s="12" t="str">
        <x:v>CE2</x:v>
      </x:c>
      <x:c r="H9" s="16" t="str">
        <x:v>CONCORDANTE</x:v>
      </x:c>
      <x:c r="I9" s="8" t="str">
        <x:v>Estudo primário com aplicação de RAG e avaliação empírica, porém voltado à estimativa de desempenho de roteadores em redes de telecomunicações 6G. O termo environmental conditions refere-se às condições operacionais das redes, não ao meio ambiente. Não apresenta finalidade ambiental, climática ou de sustentabilidade substantiva, enquadrando-se no critério CE2.</x:v>
      </x:c>
      <x:c r="J9" s="8" t="str">
        <x:v>Focuses on network performance estimation for carrier networks without explicit environmental or sustainability issues</x:v>
      </x:c>
      <x:c r="K9" s="8" t="str">
        <x:v>Proposes an attentive Retrieval-Augmented Generation (RAG) method with Large Language Models for router performance estimation</x:v>
      </x:c>
      <x:c r="L9" s="8" t="str">
        <x:v>Results show improved estimation accuracy for throughput, packet loss rate, and packet delay metrics</x:v>
      </x:c>
      <x:c r="M9" t="str">
        <x:v>02</x:v>
      </x:c>
      <x:c r="N9"/>
    </x:row>
    <x:row r="10" ht="42" customHeight="1">
      <x:c r="A10" t="n">
        <x:v>9</x:v>
      </x:c>
      <x:c r="B10" t="str">
        <x:v>R0007</x:v>
      </x:c>
      <x:c r="C10" s="8" t="str">
        <x:v>Cache-augmented multimodal generative AI for energy-aware predictive maintenance: improving equipment efficiency and reducing carbon intensity</x:v>
      </x:c>
      <x:c r="D10" s="10" t="str">
        <x:v>exclude</x:v>
      </x:c>
      <x:c r="E10" s="10" t="str">
        <x:v>CE1</x:v>
      </x:c>
      <x:c r="F10" s="12" t="str">
        <x:v>exclude</x:v>
      </x:c>
      <x:c r="G10" s="12" t="str">
        <x:v>CE1</x:v>
      </x:c>
      <x:c r="H10" s="16" t="str">
        <x:v>CONCORDANTE</x:v>
      </x:c>
      <x:c r="I10" s="8" t="str">
        <x:v>studo primário com avaliação empírica de impactos energéticos e ambientais, porém utiliza Cache-Augmented Generation (CAG), e não RAG. O sistema pré-carrega conhecimentos no cache do modelo, sem recuperação externa de informações em tempo de inferência. Portanto, não atende à definição operacional de Retrieval-Augmented Generation estabelecida no protocolo, enquadrando-se no critério CE1.</x:v>
      </x:c>
      <x:c r="J10" s="8" t="str">
        <x:v>The study reports a 8.29% decrease in per-unit carbon intensity and absolute per-shift emissions increase due to higher throughput</x:v>
      </x:c>
      <x:c r="K10" s="8" t="str">
        <x:v>The study uses Cache-Augmented Generation (CAG) which pre-loads verified domain knowledge into the model's key-value cache without real-time retrieval</x:v>
      </x:c>
      <x:c r="L10" s="8" t="str">
        <x:v>Experimental results demonstrate 95.73% accuracy rate in anomaly classification, BLEU score of 42, BERTScore of 0.84, 64.2% reduction in repair time, 13.22% improvement in OEE, and 8.29% decrease in carbon intensity</x:v>
      </x:c>
      <x:c r="M10" t="str">
        <x:v>01</x:v>
      </x:c>
      <x:c r="N10"/>
    </x:row>
    <x:row r="11" ht="42" customHeight="1">
      <x:c r="A11" t="n">
        <x:v>10</x:v>
      </x:c>
      <x:c r="B11" t="str">
        <x:v>R0032</x:v>
      </x:c>
      <x:c r="C11" s="8" t="str">
        <x:v>Knowledge Graph-Driven Retrieval-Augmented Multi-Agent Artificial Intelligence Framework for Evidence-Based Natural Resource Decision Support in Human Health</x:v>
      </x:c>
      <x:c r="D11" s="10" t="str">
        <x:v>maybe</x:v>
      </x:c>
      <x:c r="E11" s="10" t="str"/>
      <x:c r="F11" s="12" t="str">
        <x:v>maybe</x:v>
      </x:c>
      <x:c r="G11" s="12" t="str"/>
      <x:c r="H11" s="16" t="str">
        <x:v>CONCORDANTE</x:v>
      </x:c>
      <x:c r="I11" s="8" t="str">
        <x:v>Estudo primário com arquitetura GraphRAG e avaliação empírica, que menciona aplicações em gestão de recursos naturais, saúde humana e apoio à decisão ambiental. Entretanto, os resultados apresentados concentram-se em métricas gerais de desempenho e raciocínio, sem demonstrar claramente uma aplicação ou avaliação ambiental substantiva. É necessária a leitura do texto completo para verificar a aderência ao domínio ambiental exigida pelo critério CE2.</x:v>
      </x:c>
      <x:c r="J11" s="8" t="str">
        <x:v>Addresses natural resource management and human health but lacks explicit environmental terminology</x:v>
      </x:c>
      <x:c r="K11" s="8" t="str">
        <x:v>Uses GraphRAG with dynamic retrieval selection and multi-modal knowledge graphs</x:v>
      </x:c>
      <x:c r="L11" s="8" t="str">
        <x:v>Reports experimental results with specific metrics including +46% in multi-hop reasoning accuracy</x:v>
      </x:c>
      <x:c r="M11" t="str">
        <x:v>01</x:v>
      </x:c>
      <x:c r="N11"/>
    </x:row>
    <x:row r="12" ht="42" customHeight="1">
      <x:c r="A12" t="n">
        <x:v>11</x:v>
      </x:c>
      <x:c r="B12" t="str">
        <x:v>R0473</x:v>
      </x:c>
      <x:c r="C12" s="8" t="str">
        <x:v>Enhancing Large Language Models with Retrieval Augmented Generation for a Trusted Help Desk Solution</x:v>
      </x:c>
      <x:c r="D12" s="10" t="str">
        <x:v>exclude</x:v>
      </x:c>
      <x:c r="E12" s="10" t="str">
        <x:v>CE2</x:v>
      </x:c>
      <x:c r="F12" s="12" t="str">
        <x:v>exclude</x:v>
      </x:c>
      <x:c r="G12" s="12" t="str">
        <x:v>CE2</x:v>
      </x:c>
      <x:c r="H12" s="16" t="str">
        <x:v>CONCORDANTE</x:v>
      </x:c>
      <x:c r="I12" s="8" t="str">
        <x:v>Estudo primário com aplicação de RAG e avaliação empírica, porém voltado ao suporte técnico de TI (help desk), utilizando uma base de conhecimento sobre sistemas operacionais, plataformas de nuvem e infraestrutura computacional. Não apresenta aplicação ambiental, climática ou de sustentabilidade ambiental substantiva, enquadrando-se no critério CE2.</x:v>
      </x:c>
      <x:c r="J12" s="8" t="str">
        <x:v>The study focuses on IT help desks, technical support, and troubleshooting for IT systems without explicit environmental or sustainability issues</x:v>
      </x:c>
      <x:c r="K12" s="8" t="str">
        <x:v>The model uses a search component (knowledge base) to present relevant information based on user queries and incorporates retrieved information into generation</x:v>
      </x:c>
      <x:c r="L12" s="8" t="str">
        <x:v>Performance evaluation metrics include precision and recall for assessing the model's effectiveness in real-world IT support applications</x:v>
      </x:c>
      <x:c r="M12" t="str">
        <x:v>03</x:v>
      </x:c>
      <x:c r="N12"/>
    </x:row>
    <x:row r="13" ht="42" customHeight="1">
      <x:c r="A13" t="n">
        <x:v>12</x:v>
      </x:c>
      <x:c r="B13" t="str">
        <x:v>R0128</x:v>
      </x:c>
      <x:c r="C13" s="8" t="str">
        <x:v>DeepRAG: A Retrieval-Augmented Generation Framework for Navigating the Deep-Sea Governance Void</x:v>
      </x:c>
      <x:c r="D13" s="10" t="str">
        <x:v>maybe</x:v>
      </x:c>
      <x:c r="E13" s="10" t="str"/>
      <x:c r="F13" s="12" t="str">
        <x:v>maybe</x:v>
      </x:c>
      <x:c r="G13" s="12" t="str"/>
      <x:c r="H13" s="16" t="str">
        <x:v>CONCORDANTE</x:v>
      </x:c>
      <x:c r="I13" s="8" t="str">
        <x:v>Estudo primário com aplicação explícita de RAG e avaliação empírica, voltado à consulta de documentos regulatórios sobre governança do mar profundo, incluindo avaliações de impacto ambiental. Entretanto, o resumo não demonstra claramente se a dimensão ambiental é substantiva na aplicação ou se o sistema se concentra predominantemente na consulta jurídica e regulatória. Recomenda-se verificar no texto completo a aderência ao critério CE2.</x:v>
      </x:c>
      <x:c r="J13" s="8" t="str">
        <x:v>The abstract mentions deep-sea governance and environmental regulations but does not explicitly establish a substantive environmental connection.</x:v>
      </x:c>
      <x:c r="K13" s="8" t="str">
        <x:v>The model uses retrieval from external knowledge sources and incorporates retrieved information into generation via chunking and embedding.</x:v>
      </x:c>
      <x:c r="L13" s="8" t="str">
        <x:v>The study reports performance metrics including Precision@K, Recall@K, MRR, Hit Rate, ROUGE-L, BLEU, BERTScore, faithfulness, and answer relevance.</x:v>
      </x:c>
      <x:c r="M13" t="str">
        <x:v>01</x:v>
      </x:c>
      <x:c r="N13"/>
    </x:row>
    <x:row r="14" ht="42" customHeight="1">
      <x:c r="A14" t="n">
        <x:v>13</x:v>
      </x:c>
      <x:c r="B14" t="str">
        <x:v>R0144</x:v>
      </x:c>
      <x:c r="C14" s="8" t="str">
        <x:v>Generative AI Application in Power System Asset Management</x:v>
      </x:c>
      <x:c r="D14" s="10" t="str">
        <x:v>exclude</x:v>
      </x:c>
      <x:c r="E14" s="10" t="str">
        <x:v>CE2</x:v>
      </x:c>
      <x:c r="F14" s="12" t="str">
        <x:v>maybe</x:v>
      </x:c>
      <x:c r="G14" s="12" t="str"/>
      <x:c r="H14" s="14" t="str">
        <x:v>DIVERGÊNCIA NA DECISÃO</x:v>
      </x:c>
      <x:c r="I14" s="8" t="str">
        <x:v>- Estudo que propõe uma aplicação de RAG para gestão de ativos e manutenção de equipamentos do sistema elétrico, com foco na confiabilidade operacional, redução de custos e estabilidade da rede. Embora mencione energias renováveis e políticas de descarbonização, esses elementos aparecem como contextualização, sem demonstrar uma finalidade ambiental ou de sustentabilidade substantiva na aplicação RAG. Portanto, enquadra-se no critério CE2.</x:v>
      </x:c>
      <x:c r="J14" s="8" t="str">
        <x:v>The abstract mentions climate change goals and green energy policies but does not specify substantive environmental issues like emissions or climate adaptation</x:v>
      </x:c>
      <x:c r="K14" s="8" t="str">
        <x:v>The study explicitly uses retrieval-augmented generation technology to enable understanding and generation of professional knowledge</x:v>
      </x:c>
      <x:c r="L14" s="8" t="str">
        <x:v>The abstract describes a proposed integration path and application but does not report specific empirical evaluation results</x:v>
      </x:c>
      <x:c r="M14" t="str">
        <x:v>01</x:v>
      </x:c>
      <x:c r="N14"/>
    </x:row>
    <x:row r="15" ht="42" customHeight="1">
      <x:c r="A15" t="n">
        <x:v>14</x:v>
      </x:c>
      <x:c r="B15" t="str">
        <x:v>R0083</x:v>
      </x:c>
      <x:c r="C15" s="8" t="str">
        <x:v>Vision Meets Language: A RAG-Augmented YOLOv8 Framework for Coffee Disease Diagnosis and Farmer Assistance</x:v>
      </x:c>
      <x:c r="D15" s="10" t="str">
        <x:v>include</x:v>
      </x:c>
      <x:c r="E15" s="10" t="str"/>
      <x:c r="F15" s="12" t="str">
        <x:v>include</x:v>
      </x:c>
      <x:c r="G15" s="12" t="str"/>
      <x:c r="H15" s="16" t="str">
        <x:v>CONCORDANTE</x:v>
      </x:c>
      <x:c r="I15" s="8" t="str">
        <x:v>Estudo primário com aplicação explícita de RAG integrado a detecção visual de doenças em café, apresentando avaliação empírica com métricas de desempenho. A aplicação está ligada à agricultura sustentável, com objetivo de apoiar o manejo de doenças e reduzir o uso desnecessário de pesticidas, o que caracteriza relevância ambiental substantiva no escopo da revisão.</x:v>
      </x:c>
      <x:c r="J15" s="8" t="str">
        <x:v>The study addresses sustainable, data-driven disease management and reduces unnecessary pesticide usage in precision agriculture</x:v>
      </x:c>
      <x:c r="K15" s="8" t="str">
        <x:v>The framework connects YOLOv8-based disease detection with a Retrieval-Augmented Generation (RAG) pipeline</x:v>
      </x:c>
      <x:c r="L15" s="8" t="str">
        <x:v>Experiments conducted on the BRACOL coffee leaf dataset demonstrate detection performance metrics</x:v>
      </x:c>
      <x:c r="M15" t="str">
        <x:v>01</x:v>
      </x:c>
      <x:c r="N15"/>
    </x:row>
    <x:row r="16" ht="42" customHeight="1">
      <x:c r="A16" t="n">
        <x:v>15</x:v>
      </x:c>
      <x:c r="B16" t="str">
        <x:v>R0316</x:v>
      </x:c>
      <x:c r="C16" s="8" t="str">
        <x:v>RAG-Semantic Integration for Adaptive Multiagent Underwater Autonomy</x:v>
      </x:c>
      <x:c r="D16" s="10" t="str">
        <x:v>exclude</x:v>
      </x:c>
      <x:c r="E16" s="10" t="str">
        <x:v>CE2</x:v>
      </x:c>
      <x:c r="F16" s="12" t="str">
        <x:v>maybe</x:v>
      </x:c>
      <x:c r="G16" s="12" t="str"/>
      <x:c r="H16" s="14" t="str">
        <x:v>DIVERGÊNCIA NA DECISÃO</x:v>
      </x:c>
      <x:c r="I16" s="8" t="str">
        <x:v>Estudo primário com aplicação de RAG e avaliação empírica, porém voltado à autonomia de sistemas robóticos subaquáticos, coordenação multiagente e interação humano-robô. Embora mencione monitoramento ambiental marinho, essa aplicação aparece apenas como contexto, sem demonstrar finalidade ambiental ou de sustentabilidade substantiva nos objetivos ou na avaliação do sistema. Portanto, enquadra-se no critério CE2.</x:v>
      </x:c>
      <x:c r="J16" s="8" t="str">
        <x:v>Underwater environments and marine operations</x:v>
      </x:c>
      <x:c r="K16" s="8" t="str">
        <x:v>RAG-powered LLM augmented with KG data and domain taxonomy</x:v>
      </x:c>
      <x:c r="L16" s="8" t="str">
        <x:v>Ablation studies reveal LLM hallucinations without structured knowledge</x:v>
      </x:c>
      <x:c r="M16" t="str">
        <x:v>02</x:v>
      </x:c>
      <x:c r="N16"/>
    </x:row>
    <x:row r="17" ht="42" customHeight="1">
      <x:c r="A17" t="n">
        <x:v>16</x:v>
      </x:c>
      <x:c r="B17" t="str">
        <x:v>R0085</x:v>
      </x:c>
      <x:c r="C17" s="8" t="str">
        <x:v>FarmerLikeMe: A Framework for Goal and Risk-Aware Agricultural Decision Support</x:v>
      </x:c>
      <x:c r="D17" s="10" t="str">
        <x:v>maybe</x:v>
      </x:c>
      <x:c r="E17" s="10" t="str"/>
      <x:c r="F17" s="12" t="str">
        <x:v>include</x:v>
      </x:c>
      <x:c r="G17" s="12" t="str"/>
      <x:c r="H17" s="14" t="str">
        <x:v>DIVERGÊNCIA NA DECISÃO</x:v>
      </x:c>
      <x:c r="I17" s="8" t="str">
        <x:v>- studo primário que utiliza GraphRAG para apoiar decisões agrícolas, considerando variabilidade climática, riscos ecológicos e gestão sustentável de recursos, com dimensão ambiental substantiva. Entretanto, embora apresente um protótipo funcional para dispositivos móveis, o resumo não esclarece se foi realizada uma avaliação empírica do sistema. Recomenda-se verificar o texto completo para confirmar o atendimento ao critério de avaliação empírica (CE4).</x:v>
      </x:c>
      <x:c r="J17" s="8" t="str">
        <x:v>Addresses climate challenges and ecological risks in agricultural decision-making</x:v>
      </x:c>
      <x:c r="K17" s="8" t="str">
        <x:v>Uses Graph-based Retrieval-Augmented Generation (Graph RAG) to produce decisions</x:v>
      </x:c>
      <x:c r="L17" s="8" t="str">
        <x:v>Mobile proof-of-concept demonstrates real-world applicability</x:v>
      </x:c>
      <x:c r="M17" t="str">
        <x:v>01</x:v>
      </x:c>
      <x:c r="N17"/>
    </x:row>
    <x:row r="18" ht="42" customHeight="1">
      <x:c r="A18" t="n">
        <x:v>17</x:v>
      </x:c>
      <x:c r="B18" t="str">
        <x:v>R0468</x:v>
      </x:c>
      <x:c r="C18" s="8" t="str">
        <x:v>1st International Conference on Artificial Intelligence, Security and Networking, CAISN 2024</x:v>
      </x:c>
      <x:c r="D18" s="10" t="str">
        <x:v>exclude</x:v>
      </x:c>
      <x:c r="E18" s="10" t="str">
        <x:v>CE3</x:v>
      </x:c>
      <x:c r="F18" s="12" t="str">
        <x:v>exclude</x:v>
      </x:c>
      <x:c r="G18" s="12" t="str">
        <x:v>CE3</x:v>
      </x:c>
      <x:c r="H18" s="16" t="str">
        <x:v>CONCORDANTE</x:v>
      </x:c>
      <x:c r="I18" s="8" t="str">
        <x:v>Registro referente aos anais de uma conferência que reúne 42 trabalhos científicos, não constituindo um estudo primário individual. O resumo apenas apresenta os temas e títulos dos trabalhos publicados, sem descrever uma pesquisa original com implementação e avaliação de RAG no domínio ambiental. Portanto, enquadra-se no critério CE3 — estudo secundário ou publicação não primária.</x:v>
      </x:c>
      <x:c r="J18" s="8" t="str">
        <x:v>Environmental Monitoring System in Health Care Units with Real-Time Data Integration Using IOT and Cloud Computing</x:v>
      </x:c>
      <x:c r="K18" s="8" t="str">
        <x:v>Enhancing Large Language Models with Retrieval Augmented Generation for a Trusted Help Desk Solution</x:v>
      </x:c>
      <x:c r="L18" s="8" t="str">
        <x:v>Comparative Study Between YOLOv5 and YOLOv8 in Object Detection and Re-identification Using the DukeMTMC-ReID Dataset</x:v>
      </x:c>
      <x:c r="M18" t="str">
        <x:v>03</x:v>
      </x:c>
      <x:c r="N18"/>
    </x:row>
    <x:row r="19" ht="42" customHeight="1">
      <x:c r="A19" t="n">
        <x:v>18</x:v>
      </x:c>
      <x:c r="B19" t="str">
        <x:v>R0360</x:v>
      </x:c>
      <x:c r="C19" s="8" t="str">
        <x:v>Plant Care System Using Convolutional Neural Network (CNN) and Large Language Models (LLM)</x:v>
      </x:c>
      <x:c r="D19" s="10" t="str">
        <x:v>exclude</x:v>
      </x:c>
      <x:c r="E19" s="10" t="str">
        <x:v>CE2</x:v>
      </x:c>
      <x:c r="F19" s="12" t="str">
        <x:v>maybe</x:v>
      </x:c>
      <x:c r="G19" s="12" t="str"/>
      <x:c r="H19" s="14" t="str">
        <x:v>DIVERGÊNCIA NA DECISÃO</x:v>
      </x:c>
      <x:c r="I19" s="8" t="str">
        <x:v>Estudo que integra CNN e RAG para diagnóstico de doenças em plantas e fornecimento de orientações sobre tratamento e cuidados. Embora mencione mudanças climáticas como fator associado às doenças, o foco da aplicação está no diagnóstico fitossanitário e no manejo agrícola, sem demonstrar finalidade ambiental ou de sustentabilidade substantiva. Portanto, enquadra-se no critério CE2.</x:v>
      </x:c>
      <x:c r="J19" s="8" t="str">
        <x:v>Mentions climate change as a factor but does not specify substantive environmental connection</x:v>
      </x:c>
      <x:c r="K19" s="8" t="str">
        <x:v>RAG uses chunking, embeddings, and FAISS for retrieval with LLAMA-2</x:v>
      </x:c>
      <x:c r="L19" s="8" t="str">
        <x:v>Reports training accuracy of 95% and validation accuracy of 92%</x:v>
      </x:c>
      <x:c r="M19" t="str">
        <x:v>02</x:v>
      </x:c>
      <x:c r="N19"/>
    </x:row>
    <x:row r="20" ht="42" customHeight="1">
      <x:c r="A20" t="n">
        <x:v>19</x:v>
      </x:c>
      <x:c r="B20" t="str">
        <x:v>R0353</x:v>
      </x:c>
      <x:c r="C20" s="8" t="str">
        <x:v>WildlifeLookup: A Chatbot Facilitating Wildlife Management with Accessible Data and Insights</x:v>
      </x:c>
      <x:c r="D20" s="10" t="str">
        <x:v>maybe</x:v>
      </x:c>
      <x:c r="E20" s="10" t="str"/>
      <x:c r="F20" s="12" t="str">
        <x:v>maybe</x:v>
      </x:c>
      <x:c r="G20" s="12" t="str"/>
      <x:c r="H20" s="16" t="str">
        <x:v>CONCORDANTE</x:v>
      </x:c>
      <x:c r="I20" s="8" t="str">
        <x:v>- Estudo com aplicação ambiental substantiva, voltada à conservação da biodiversidade e ao manejo da fauna diante das mudanças climáticas. Entretanto, embora utilize um chatbot conectado a um grafo de conhecimento, o resumo não esclarece se existe uma etapa generativa integrada à recuperação de informações, conforme a definição operacional de RAG (CE1). Também não apresenta resultados de avaliação empírica do sistema (CE4). Recomenda-se verificar o texto completo antes de decidir pela inclusão ou exclusão.</x:v>
      </x:c>
      <x:c r="J20" s="8" t="str">
        <x:v>Addresses climate change impacts on species and ecosystems</x:v>
      </x:c>
      <x:c r="K20" s="8" t="str">
        <x:v>Uses Retrieval-Augment Generation (RAG) with knowledge graph (KN-Wildlife) for natural language interaction</x:v>
      </x:c>
      <x:c r="L20" s="8" t="str">
        <x:v>No explicit mention of empirical evaluation methods or results</x:v>
      </x:c>
      <x:c r="M20" t="str">
        <x:v>02</x:v>
      </x:c>
      <x:c r="N20"/>
    </x:row>
    <x:row r="21" ht="42" customHeight="1">
      <x:c r="A21" t="n">
        <x:v>20</x:v>
      </x:c>
      <x:c r="B21" t="str">
        <x:v>R0280</x:v>
      </x:c>
      <x:c r="C21" s="8" t="str">
        <x:v>Semantic Routing: Fusing LLMs and Combinatorial Optimization Problems within the Generative Problem Solving (GPS) Domain</x:v>
      </x:c>
      <x:c r="D21" s="10" t="str">
        <x:v>exclude</x:v>
      </x:c>
      <x:c r="E21" s="10" t="str">
        <x:v>CE1</x:v>
      </x:c>
      <x:c r="F21" s="12" t="str">
        <x:v>exclude</x:v>
      </x:c>
      <x:c r="G21" s="12" t="str">
        <x:v>CE4</x:v>
      </x:c>
      <x:c r="H21" s="18" t="str">
        <x:v>MESMA DECISÃO; CÓDIGO DIFERENTE</x:v>
      </x:c>
      <x:c r="I21" s="8" t="str">
        <x:v>- Estudo exploratório baseado em revisão de literatura sobre LLMs e otimização de rotas. A integração de RAG é apresentada apenas como uma possibilidade futura, sem implementação de um sistema que integre recuperação externa de informações à geração de respostas. Portanto, não atende à definição operacional de RAG estabelecida no protocolo, enquadrando-se no critério CE1.</x:v>
      </x:c>
      <x:c r="J21" s="8" t="str">
        <x:v>The abstract mentions sustainable, non-motorized modes of transport but does not explicitly establish a substantive environmental connection</x:v>
      </x:c>
      <x:c r="K21" s="8" t="str">
        <x:v>The study mentions integration of Retrieval Augmented Generation (RAG) but does not specify whether retrieved information is incorporated into a generative model</x:v>
      </x:c>
      <x:c r="L21" s="8" t="str">
        <x:v>The study describes opportunities for LLMs to enhance routing systems but states that the integration of RAG and other methods are proposed application areas without reporting empirical evaluation</x:v>
      </x:c>
      <x:c r="M21" t="str">
        <x:v>02</x:v>
      </x:c>
      <x:c r="N21"/>
    </x:row>
    <x:row r="22" ht="42" customHeight="1">
      <x:c r="A22" t="n">
        <x:v>21</x:v>
      </x:c>
      <x:c r="B22" t="str">
        <x:v>R0263</x:v>
      </x:c>
      <x:c r="C22" s="8" t="str">
        <x:v>LLM-Based Telemetry Repair and Fault Detection in V2X Networks with Digital Twin Guidance</x:v>
      </x:c>
      <x:c r="D22" s="10" t="str">
        <x:v>exclude</x:v>
      </x:c>
      <x:c r="E22" s="10" t="str">
        <x:v>CE2</x:v>
      </x:c>
      <x:c r="F22" s="12" t="str">
        <x:v>maybe</x:v>
      </x:c>
      <x:c r="G22" s="12" t="str"/>
      <x:c r="H22" s="14" t="str">
        <x:v>DIVERGÊNCIA NA DECISÃO</x:v>
      </x:c>
      <x:c r="I22" s="8" t="str">
        <x:v>Estudo primário com aplicação de RAG e avaliação empírica, porém voltado à recuperação de dados de telemetria, detecção de falhas e confiabilidade das comunicações em redes V2X. O termo environmental priors refere-se às condições contextuais e operacionais do sistema, sem demonstrar finalidade ambiental, climática ou de sustentabilidade substantiva. Portanto, enquadra-se no critério CE2.</x:v>
      </x:c>
      <x:c r="J22" s="8" t="str">
        <x:v>Mentions V2X networks and wireless telemetry but lacks explicit environmental focus</x:v>
      </x:c>
      <x:c r="K22" s="8" t="str">
        <x:v>System combines retrieval-augmented generation with environmental priors</x:v>
      </x:c>
      <x:c r="L22" s="8" t="str">
        <x:v>Extensive evaluations on real-world driving datasets with simulated wireless impairments</x:v>
      </x:c>
      <x:c r="M22" t="str">
        <x:v>02</x:v>
      </x:c>
      <x:c r="N22"/>
    </x:row>
    <x:row r="23" ht="42" customHeight="1">
      <x:c r="A23" t="n">
        <x:v>22</x:v>
      </x:c>
      <x:c r="B23" t="str">
        <x:v>R0016</x:v>
      </x:c>
      <x:c r="C23" s="8" t="str">
        <x:v>Generative AI and Computer Vision-based Hybrid Approach for Plant Diseases Classification</x:v>
      </x:c>
      <x:c r="D23" s="10" t="str">
        <x:v>include</x:v>
      </x:c>
      <x:c r="E23" s="10" t="str"/>
      <x:c r="F23" s="12" t="str">
        <x:v>include</x:v>
      </x:c>
      <x:c r="G23" s="12" t="str"/>
      <x:c r="H23" s="16" t="str">
        <x:v>CONCORDANTE</x:v>
      </x:c>
      <x:c r="I23" s="8" t="str">
        <x:v>Estudo primário com aplicação explícita de RAG em apoio à decisão no contexto de doenças de plantas, inserido em agricultura de precisão com relevância ambiental substantiva, ao buscar reduzir o uso desnecessário de pesticidas e mitigar impactos ambientais. O resumo também apresenta avaliação empírica do framework, com métricas experimentais para geração de imagens sintéticas e classificação de doenças, sustentando a elegibilidade do artigo no escopo da revisão.</x:v>
      </x:c>
      <x:c r="J23" s="8" t="str">
        <x:v>The framework addresses environmental impact by reducing unnecessary pesticide application, thereby minimizing environmental degradation and promoting sustainable agricultural practices.</x:v>
      </x:c>
      <x:c r="K23" s="8" t="str">
        <x:v>The study integrates a retrieval-augmented generation (RAG) module for contextual agricultural decision support, which uses retrieved information to generate contextual recommendations.</x:v>
      </x:c>
      <x:c r="L23" s="8" t="str">
        <x:v>The study reports experimental results including FID scores, training and testing accuracies for the ConvNeXt classifier, and validation on real cotton leaf images.</x:v>
      </x:c>
      <x:c r="M23" t="str">
        <x:v>01</x:v>
      </x:c>
      <x:c r="N23"/>
    </x:row>
    <x:row r="24" ht="42" customHeight="1">
      <x:c r="A24" t="n">
        <x:v>23</x:v>
      </x:c>
      <x:c r="B24" t="str">
        <x:v>R0225</x:v>
      </x:c>
      <x:c r="C24" s="8" t="str">
        <x:v>PEZEGO: A Precision Agriculture System Based on Large Language Models and Internet of Things for Pest Management</x:v>
      </x:c>
      <x:c r="D24" s="10" t="str">
        <x:v>exclude</x:v>
      </x:c>
      <x:c r="E24" s="10" t="str">
        <x:v>CE2</x:v>
      </x:c>
      <x:c r="F24" s="12" t="str">
        <x:v>include</x:v>
      </x:c>
      <x:c r="G24" s="12" t="str"/>
      <x:c r="H24" s="14" t="str">
        <x:v>DIVERGÊNCIA NA DECISÃO</x:v>
      </x:c>
      <x:c r="I24" s="8" t="str">
        <x:v>Estudo primário com aplicação explícita de RAG e avaliação empírica, porém voltado ao monitoramento e controle de pragas agrícolas, com foco na precisão das recomendações e na redução de perdas de produtividade. Embora utilize dados ambientais coletados por sensores IoT, o resumo não demonstra finalidade ambiental ou de sustentabilidade substantiva, como redução de pesticidas, conservação de recursos ou mitigação de impactos ecológicos. Portanto, enquadra-se no critério CE2.</x:v>
      </x:c>
      <x:c r="J24" s="8" t="str">
        <x:v>Addresses pest management in agriculture which impacts crop yield and food security</x:v>
      </x:c>
      <x:c r="K24" s="8" t="str">
        <x:v>Structured data-based retrieval augmented generation workflow for LLMs is proposed to provide pest management suggestions</x:v>
      </x:c>
      <x:c r="L24" s="8" t="str">
        <x:v>Case study validation in UK with quantitative metrics including 0.1759 APh on pest detection and 68.7% average F1 score for knowledge extraction</x:v>
      </x:c>
      <x:c r="M24" t="str">
        <x:v>02</x:v>
      </x:c>
      <x:c r="N24"/>
    </x:row>
    <x:row r="25" ht="42" customHeight="1">
      <x:c r="A25" t="n">
        <x:v>24</x:v>
      </x:c>
      <x:c r="B25" t="str">
        <x:v>R0310</x:v>
      </x:c>
      <x:c r="C25" s="8" t="str">
        <x:v>2026 International Conference on Sustainable Engineering and Technology Innovations, ICSETI 2026</x:v>
      </x:c>
      <x:c r="D25" s="10" t="str">
        <x:v>exclude</x:v>
      </x:c>
      <x:c r="E25" s="10" t="str">
        <x:v>CE3</x:v>
      </x:c>
      <x:c r="F25" s="12" t="str">
        <x:v>exclude</x:v>
      </x:c>
      <x:c r="G25" s="12" t="str">
        <x:v>CE3</x:v>
      </x:c>
      <x:c r="H25" s="16" t="str">
        <x:v>CONCORDANTE</x:v>
      </x:c>
      <x:c r="I25" s="8" t="str">
        <x:v>Registro referente aos anais de uma conferência que reúne 163 trabalhos científicos, não constituindo um estudo primário individual. O resumo apresenta apenas uma relação de pesquisas publicadas, sem descrever uma investigação própria com implementação e avaliação de RAG aplicada à sustentabilidade ambiental. Portanto, enquadra-se no critério CE3 — estudo secundário ou publicação não primária.</x:v>
      </x:c>
      <x:c r="J25" s="8" t="str">
        <x:v>environmental friendly low-cost smart EV(hoverboard) for campus purpose</x:v>
      </x:c>
      <x:c r="K25" s="8" t="str">
        <x:v>Intellicore – a framework for building personalized AI agents using retrieval-augmented generation</x:v>
      </x:c>
      <x:c r="L25" s="8" t="str">
        <x:v>performance analysis of a switched reluctance motor with variable air-gap configurations for optimal geometric design</x:v>
      </x:c>
      <x:c r="M25" t="str">
        <x:v>02</x:v>
      </x:c>
      <x:c r="N25"/>
    </x:row>
    <x:row r="26" ht="42" customHeight="1">
      <x:c r="A26" t="n">
        <x:v>25</x:v>
      </x:c>
      <x:c r="B26" t="str">
        <x:v>R0105</x:v>
      </x:c>
      <x:c r="C26" s="8" t="str">
        <x:v>Project Prithvi: A Multi-Agent System for Geospatial Intelligence and Monsoon Impact Assessment</x:v>
      </x:c>
      <x:c r="D26" s="10" t="str">
        <x:v>maybe</x:v>
      </x:c>
      <x:c r="E26" s="10" t="str"/>
      <x:c r="F26" s="12" t="str">
        <x:v>include</x:v>
      </x:c>
      <x:c r="G26" s="12" t="str"/>
      <x:c r="H26" s="14" t="str">
        <x:v>DIVERGÊNCIA NA DECISÃO</x:v>
      </x:c>
      <x:c r="I26" s="8" t="str">
        <x:v>- Estudo com aplicação explícita de RAG no domínio ambiental e climático, voltado ao monitoramento de monções, análise de dados geoespaciais e apoio ao planejamento de desastres. Entretanto, embora apresente uma arquitetura multiagente e um índice para avaliação das condições climáticas, o resumo não descreve resultados experimentais ou validação empírica do sistema. Recomenda-se verificar o texto completo para confirmar o atendimento ao critério CE4.</x:v>
      </x:c>
      <x:c r="J26" s="8" t="str">
        <x:v>Addresses Indian monsoon impact assessment, which involves climate adaptation and disaster planning for environmental sustainability.</x:v>
      </x:c>
      <x:c r="K26" s="8" t="str">
        <x:v>The system uses Retrieval-Augmented Generation (RAG) combined with Tree-of-Thought reasoning for analytics and context-retrieval.</x:v>
      </x:c>
      <x:c r="L26" s="8" t="str">
        <x:v>The system provides actionable insights from satellite observations and integrates multi-modal data for monitoring and disaster planning.</x:v>
      </x:c>
      <x:c r="M26" t="str">
        <x:v>01</x:v>
      </x:c>
      <x:c r="N26"/>
    </x:row>
    <x:row r="27" ht="42" customHeight="1">
      <x:c r="A27" t="n">
        <x:v>26</x:v>
      </x:c>
      <x:c r="B27" t="str">
        <x:v>R0188</x:v>
      </x:c>
      <x:c r="C27" s="8" t="str">
        <x:v>A domain-adapted retrieval-augmented framework for transparent Earth system assessment</x:v>
      </x:c>
      <x:c r="D27" s="10" t="str">
        <x:v>include</x:v>
      </x:c>
      <x:c r="E27" s="10" t="str"/>
      <x:c r="F27" s="12" t="str">
        <x:v>include</x:v>
      </x:c>
      <x:c r="G27" s="12" t="str"/>
      <x:c r="H27" s="16" t="str">
        <x:v>CONCORDANTE</x:v>
      </x:c>
      <x:c r="I27" s="8" t="str">
        <x:v>Estudo primário com aplicação explícita de RAG no domínio ambiental, voltado à análise de mudanças ambientais globais, sistemas terrestres e limites planetários. Apresenta avaliação empírica com métricas de fidelidade contextual (0,96), relevância das respostas (0,88) e correção (0,81). Atende aos critérios de aplicação RAG, relevância ambiental substantiva e avaliação experimental.</x:v>
      </x:c>
      <x:c r="J27" s="8" t="str">
        <x:v>Earth-system science literature and global environmental change assessment</x:v>
      </x:c>
      <x:c r="K27" s="8" t="str">
        <x:v>System continuously curates literature from major scholarly databases and integrates it with locally hosted, open-weight language models to enable source-level traceability</x:v>
      </x:c>
      <x:c r="L27" s="8" t="str">
        <x:v>Quantitative evaluation shows high contextual faithfulness (0.96), strong answer relevance (0.88), and robust correctness (0.81)</x:v>
      </x:c>
      <x:c r="M27" t="str">
        <x:v>01</x:v>
      </x:c>
      <x:c r="N27"/>
    </x:row>
    <x:row r="28" ht="42" customHeight="1">
      <x:c r="A28" t="n">
        <x:v>27</x:v>
      </x:c>
      <x:c r="B28" t="str">
        <x:v>R0560</x:v>
      </x:c>
      <x:c r="C28" s="8" t="str">
        <x:v>An AI- and IoT-Driven Quality Monitoring System for Sustainable Management of Cruciferous Vegetables</x:v>
      </x:c>
      <x:c r="D28" s="10" t="str">
        <x:v>include</x:v>
      </x:c>
      <x:c r="E28" s="10" t="str"/>
      <x:c r="F28" s="12" t="str">
        <x:v>include</x:v>
      </x:c>
      <x:c r="G28" s="12" t="str"/>
      <x:c r="H28" s="16" t="str">
        <x:v>CONCORDANTE</x:v>
      </x:c>
      <x:c r="I28" s="8" t="str">
        <x:v>- Estudo primário com aplicação explícita de RAG integrada a IoT e visão computacional para monitoramento agrícola sustentável. Apresenta relevância ambiental substantiva ao buscar reduzir o uso excessivo de pesticidas e melhorar a eficiência dos recursos agrícolas. Inclui avaliação empírica específica do módulo RAG, com 85% de alinhamento diagnóstico e 88,5% de relevância das recomendações, atendendo aos critérios de elegibilidade da revisão.</x:v>
      </x:c>
      <x:c r="J28" s="8" t="str">
        <x:v>The system supports reduced pesticide overuse, minimized crop loss, and improved resource efficiency in cruciferous vegetable production</x:v>
      </x:c>
      <x:c r="K28" s="8" t="str">
        <x:v>The system employs a RetrievalAugmented Generation (RAG) framework that provides context-aware agronomic recommendations grounded in expert knowledge</x:v>
      </x:c>
      <x:c r="L28" s="8" t="str">
        <x:v>Experiments on a dataset of 2,659 images show YOLOv10 achieves 88.7% accuracy and 91.6% mAP@0.5</x:v>
      </x:c>
      <x:c r="M28" t="str">
        <x:v>03</x:v>
      </x:c>
      <x:c r="N28"/>
    </x:row>
    <x:row r="29" ht="42" customHeight="1">
      <x:c r="A29" t="n">
        <x:v>28</x:v>
      </x:c>
      <x:c r="B29" t="str">
        <x:v>R0069</x:v>
      </x:c>
      <x:c r="C29" s="8" t="str">
        <x:v>AI Agent for Smart Indoor Environment Management</x:v>
      </x:c>
      <x:c r="D29" s="10" t="str">
        <x:v>exclude</x:v>
      </x:c>
      <x:c r="E29" s="10" t="str">
        <x:v>CE2</x:v>
      </x:c>
      <x:c r="F29" s="12" t="str">
        <x:v>maybe</x:v>
      </x:c>
      <x:c r="G29" s="12" t="str"/>
      <x:c r="H29" s="14" t="str">
        <x:v>DIVERGÊNCIA NA DECISÃO</x:v>
      </x:c>
      <x:c r="I29" s="8" t="str">
        <x:v>Estudo primário com aplicação de RAG e avaliação empírica, porém voltado à automação e ao gerenciamento de ambientes internos de edifícios, com foco no conforto dos ocupantes, interpretação de preferências e precisão das consultas. Não apresenta finalidade ambiental ou de sustentabilidade substantiva, como redução do consumo energético ou de impactos ambientais. Portanto, enquadra-se no critério CE2.</x:v>
      </x:c>
      <x:c r="J29" s="8" t="str">
        <x:v>Mentions 'smart indoor environment management' and 'office buildings' but lacks explicit environmental context</x:v>
      </x:c>
      <x:c r="K29" s="8" t="str">
        <x:v>Uses vector-graph-based Retrieval-Augmented Generation (V-G RAG) engine</x:v>
      </x:c>
      <x:c r="L29" s="8" t="str">
        <x:v>Experimental deployment in an operational office building demonstrates improved query accuracy</x:v>
      </x:c>
      <x:c r="M29" t="str">
        <x:v>01</x:v>
      </x:c>
      <x:c r="N29"/>
    </x:row>
    <x:row r="30" ht="42" customHeight="1">
      <x:c r="A30" t="n">
        <x:v>29</x:v>
      </x:c>
      <x:c r="B30" t="str">
        <x:v>R0037</x:v>
      </x:c>
      <x:c r="C30" s="8" t="str">
        <x:v>SafeAuto: Knowledge-Enhanced Safe Autonomous Driving with Multimodal Foundation Models</x:v>
      </x:c>
      <x:c r="D30" s="10" t="str">
        <x:v>exclude</x:v>
      </x:c>
      <x:c r="E30" s="10" t="str">
        <x:v>CE2</x:v>
      </x:c>
      <x:c r="F30" s="12" t="str">
        <x:v>maybe</x:v>
      </x:c>
      <x:c r="G30" s="12" t="str"/>
      <x:c r="H30" s="14" t="str">
        <x:v>DIVERGÊNCIA NA DECISÃO</x:v>
      </x:c>
      <x:c r="I30" s="8" t="str">
        <x:v>Estudo primário com aplicação de RAG multimodal e avaliação empírica, porém voltado à segurança e ao controle de veículos autônomos. Os atributos ambientais mencionados referem-se às condições do ambiente de navegação, não ao meio ambiente. O estudo não apresenta objetivos relacionados à sustentabilidade ambiental, mitigação climática ou redução de impactos ecológicos, enquadrando-se no critério CE2.</x:v>
      </x:c>
      <x:c r="J30" s="8" t="str">
        <x:v>The study mentions 'environmental attributes' but does not explicitly address climate, decarbonisation, emissions, or environmental impact</x:v>
      </x:c>
      <x:c r="K30" s="8" t="str">
        <x:v>Multimodal Retrieval-Augmented Generation (RAG) model leverages video, control signals, and environmental attributes to learn from past driving experiences</x:v>
      </x:c>
      <x:c r="L30" s="8" t="str">
        <x:v>SafeAuto outperforms existing baselines across multiple datasets</x:v>
      </x:c>
      <x:c r="M30" t="str">
        <x:v>01</x:v>
      </x:c>
      <x:c r="N30"/>
    </x:row>
    <x:row r="31" ht="42" customHeight="1">
      <x:c r="A31" t="n">
        <x:v>30</x:v>
      </x:c>
      <x:c r="B31" t="str">
        <x:v>R0587</x:v>
      </x:c>
      <x:c r="C31" s="8" t="str">
        <x:v>A Large Language Model-Supported Threat Modeling Framework for Transportation Cyber-Physical Systems</x:v>
      </x:c>
      <x:c r="D31" s="10" t="str">
        <x:v>exclude</x:v>
      </x:c>
      <x:c r="E31" s="10" t="str">
        <x:v>CE2</x:v>
      </x:c>
      <x:c r="F31" s="12" t="str">
        <x:v>exclude</x:v>
      </x:c>
      <x:c r="G31" s="12" t="str">
        <x:v>CE2</x:v>
      </x:c>
      <x:c r="H31" s="16" t="str">
        <x:v>CONCORDANTE</x:v>
      </x:c>
      <x:c r="I31" s="8" t="str">
        <x:v>Estudo primário com aplicação de RAG e avaliação empírica, porém voltado à modelagem de ameaças cibernéticas, identificação de vulnerabilidades e mitigação de ataques em sistemas ciberfísicos de transporte. Embora utilize tecnologias relacionadas ao setor de transportes, não apresenta finalidade ambiental, climática ou de sustentabilidade substantiva. Portanto, enquadra-se no critério CE2.</x:v>
      </x:c>
      <x:c r="J31" s="8" t="str">
        <x:v>The record focuses on transportation cybersecurity and cyber-physical systems without explicit substantive environmental, ecological, or climate-related issues.</x:v>
      </x:c>
      <x:c r="K31" s="8" t="str">
        <x:v>The framework uses a retrieval-augmented generation approach requiring no cybersecurity expert intervention, which involves retrieval from external knowledge sources and incorporation into generative model output.</x:v>
      </x:c>
      <x:c r="L31" s="8" t="str">
        <x:v>The framework was evaluated through two use cases, including validation by cybersecurity experts and real-world incident analysis.</x:v>
      </x:c>
      <x:c r="M31" t="str">
        <x:v>03</x:v>
      </x:c>
      <x:c r="N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13" hidden="0" customWidth="1"/>
    <x:col min="3" max="3" width="56" hidden="0" customWidth="1"/>
    <x:col min="4" max="4" width="23" hidden="0" customWidth="1"/>
    <x:col min="5" max="5" width="18" hidden="0" customWidth="1"/>
    <x:col min="6" max="6" width="17" hidden="0" customWidth="1"/>
    <x:col min="7" max="7" width="17" hidden="0" customWidth="1"/>
    <x:col min="8" max="8" width="37" hidden="0" customWidth="1"/>
    <x:col min="9" max="9" width="65" hidden="0" customWidth="1"/>
  </x:cols>
  <x:sheetData>
    <x:row r="1" ht="28" customHeight="1">
      <x:c r="A1" s="4" t="str">
        <x:v>ORDEM</x:v>
      </x:c>
      <x:c r="B1" s="4" t="str">
        <x:v>ID</x:v>
      </x:c>
      <x:c r="C1" s="4" t="str">
        <x:v>TÍTULO</x:v>
      </x:c>
      <x:c r="D1" s="4" t="str">
        <x:v>DECISÃO REGISTRADA*</x:v>
      </x:c>
      <x:c r="E1" s="4" t="str">
        <x:v>CE REGISTRADO</x:v>
      </x:c>
      <x:c r="F1" s="4" t="str">
        <x:v>QWEN</x:v>
      </x:c>
      <x:c r="G1" s="4" t="str">
        <x:v>CE QWEN</x:v>
      </x:c>
      <x:c r="H1" s="4" t="str">
        <x:v>TIPO DE DIVERGÊNCIA</x:v>
      </x:c>
      <x:c r="I1" s="4" t="str">
        <x:v>O QUE CONFERIR</x:v>
      </x:c>
    </x:row>
    <x:row r="2" ht="58" customHeight="1">
      <x:c r="A2" t="n">
        <x:v>1</x:v>
      </x:c>
      <x:c r="B2" t="str">
        <x:v>R0403</x:v>
      </x:c>
      <x:c r="C2" s="8" t="str">
        <x:v>Development of an AI-Assisted LoRa-Based Monitoring and Control System with RAG-Enabled Chatbot for Sacha Inchi Cultivation</x:v>
      </x:c>
      <x:c r="D2" s="8" t="str">
        <x:v>exclude</x:v>
      </x:c>
      <x:c r="E2" s="8" t="str">
        <x:v>CE2</x:v>
      </x:c>
      <x:c r="F2" s="8" t="str">
        <x:v>include</x:v>
      </x:c>
      <x:c r="G2" s="8" t="str"/>
      <x:c r="H2" s="14" t="str">
        <x:v>DIVERGÊNCIA NA DECISÃO</x:v>
      </x:c>
      <x:c r="I2" s="8" t="str">
        <x:v>CE2 — cultivo agrícola, eficiência de recursos e finalidade ambiental substantiva</x:v>
      </x:c>
    </x:row>
    <x:row r="3" ht="58" customHeight="1">
      <x:c r="A3" t="n">
        <x:v>13</x:v>
      </x:c>
      <x:c r="B3" t="str">
        <x:v>R0144</x:v>
      </x:c>
      <x:c r="C3" s="8" t="str">
        <x:v>Generative AI Application in Power System Asset Management</x:v>
      </x:c>
      <x:c r="D3" s="8" t="str">
        <x:v>exclude</x:v>
      </x:c>
      <x:c r="E3" s="8" t="str">
        <x:v>CE2</x:v>
      </x:c>
      <x:c r="F3" s="8" t="str">
        <x:v>maybe</x:v>
      </x:c>
      <x:c r="G3" s="8" t="str"/>
      <x:c r="H3" s="14" t="str">
        <x:v>DIVERGÊNCIA NA DECISÃO</x:v>
      </x:c>
      <x:c r="I3" s="8" t="str">
        <x:v>CE2 — menção à transição energética versus foco operacional na manutenção</x:v>
      </x:c>
    </x:row>
    <x:row r="4" ht="58" customHeight="1">
      <x:c r="A4" t="n">
        <x:v>15</x:v>
      </x:c>
      <x:c r="B4" t="str">
        <x:v>R0316</x:v>
      </x:c>
      <x:c r="C4" s="8" t="str">
        <x:v>RAG-Semantic Integration for Adaptive Multiagent Underwater Autonomy</x:v>
      </x:c>
      <x:c r="D4" s="8" t="str">
        <x:v>exclude</x:v>
      </x:c>
      <x:c r="E4" s="8" t="str">
        <x:v>CE2</x:v>
      </x:c>
      <x:c r="F4" s="8" t="str">
        <x:v>maybe</x:v>
      </x:c>
      <x:c r="G4" s="8" t="str"/>
      <x:c r="H4" s="14" t="str">
        <x:v>DIVERGÊNCIA NA DECISÃO</x:v>
      </x:c>
      <x:c r="I4" s="8" t="str">
        <x:v>CE2 — monitoramento ambiental aparece como contexto da robótica submarina</x:v>
      </x:c>
    </x:row>
    <x:row r="5" ht="58" customHeight="1">
      <x:c r="A5" t="n">
        <x:v>16</x:v>
      </x:c>
      <x:c r="B5" t="str">
        <x:v>R0085</x:v>
      </x:c>
      <x:c r="C5" s="8" t="str">
        <x:v>FarmerLikeMe: A Framework for Goal and Risk-Aware Agricultural Decision Support</x:v>
      </x:c>
      <x:c r="D5" s="8" t="str">
        <x:v>maybe</x:v>
      </x:c>
      <x:c r="E5" s="8" t="str"/>
      <x:c r="F5" s="8" t="str">
        <x:v>include</x:v>
      </x:c>
      <x:c r="G5" s="8" t="str"/>
      <x:c r="H5" s="14" t="str">
        <x:v>DIVERGÊNCIA NA DECISÃO</x:v>
      </x:c>
      <x:c r="I5" s="8" t="str">
        <x:v>CE4 — protótipo descrito sem avaliação empírica claramente relatada</x:v>
      </x:c>
    </x:row>
    <x:row r="6" ht="58" customHeight="1">
      <x:c r="A6" t="n">
        <x:v>18</x:v>
      </x:c>
      <x:c r="B6" t="str">
        <x:v>R0360</x:v>
      </x:c>
      <x:c r="C6" s="8" t="str">
        <x:v>Plant Care System Using Convolutional Neural Network (CNN) and Large Language Models (LLM)</x:v>
      </x:c>
      <x:c r="D6" s="8" t="str">
        <x:v>exclude</x:v>
      </x:c>
      <x:c r="E6" s="8" t="str">
        <x:v>CE2</x:v>
      </x:c>
      <x:c r="F6" s="8" t="str">
        <x:v>maybe</x:v>
      </x:c>
      <x:c r="G6" s="8" t="str"/>
      <x:c r="H6" s="14" t="str">
        <x:v>DIVERGÊNCIA NA DECISÃO</x:v>
      </x:c>
      <x:c r="I6" s="8" t="str">
        <x:v>CE2 — diagnóstico fitossanitário versus dimensão ambiental substantiva</x:v>
      </x:c>
    </x:row>
    <x:row r="7" ht="58" customHeight="1">
      <x:c r="A7" t="n">
        <x:v>20</x:v>
      </x:c>
      <x:c r="B7" t="str">
        <x:v>R0280</x:v>
      </x:c>
      <x:c r="C7" s="8" t="str">
        <x:v>Semantic Routing: Fusing LLMs and Combinatorial Optimization Problems within the Generative Problem Solving (GPS) Domain</x:v>
      </x:c>
      <x:c r="D7" s="8" t="str">
        <x:v>exclude</x:v>
      </x:c>
      <x:c r="E7" s="8" t="str">
        <x:v>CE1</x:v>
      </x:c>
      <x:c r="F7" s="8" t="str">
        <x:v>exclude</x:v>
      </x:c>
      <x:c r="G7" s="8" t="str">
        <x:v>CE4</x:v>
      </x:c>
      <x:c r="H7" s="18" t="str">
        <x:v>MESMA DECISÃO; CÓDIGO DIFERENTE</x:v>
      </x:c>
      <x:c r="I7" s="8" t="str">
        <x:v>CE1 versus CE4 — conferir motivo prioritário da exclusão pelo protocolo</x:v>
      </x:c>
    </x:row>
    <x:row r="8" ht="58" customHeight="1">
      <x:c r="A8" t="n">
        <x:v>21</x:v>
      </x:c>
      <x:c r="B8" t="str">
        <x:v>R0263</x:v>
      </x:c>
      <x:c r="C8" s="8" t="str">
        <x:v>LLM-Based Telemetry Repair and Fault Detection in V2X Networks with Digital Twin Guidance</x:v>
      </x:c>
      <x:c r="D8" s="8" t="str">
        <x:v>exclude</x:v>
      </x:c>
      <x:c r="E8" s="8" t="str">
        <x:v>CE2</x:v>
      </x:c>
      <x:c r="F8" s="8" t="str">
        <x:v>maybe</x:v>
      </x:c>
      <x:c r="G8" s="8" t="str"/>
      <x:c r="H8" s="14" t="str">
        <x:v>DIVERGÊNCIA NA DECISÃO</x:v>
      </x:c>
      <x:c r="I8" s="8" t="str">
        <x:v>CE2 — environmental priors se refere a condições operacionais V2X</x:v>
      </x:c>
    </x:row>
    <x:row r="9" ht="58" customHeight="1">
      <x:c r="A9" t="n">
        <x:v>23</x:v>
      </x:c>
      <x:c r="B9" t="str">
        <x:v>R0225</x:v>
      </x:c>
      <x:c r="C9" s="8" t="str">
        <x:v>PEZEGO: A Precision Agriculture System Based on Large Language Models and Internet of Things for Pest Management</x:v>
      </x:c>
      <x:c r="D9" s="8" t="str">
        <x:v>exclude</x:v>
      </x:c>
      <x:c r="E9" s="8" t="str">
        <x:v>CE2</x:v>
      </x:c>
      <x:c r="F9" s="8" t="str">
        <x:v>include</x:v>
      </x:c>
      <x:c r="G9" s="8" t="str"/>
      <x:c r="H9" s="14" t="str">
        <x:v>DIVERGÊNCIA NA DECISÃO</x:v>
      </x:c>
      <x:c r="I9" s="8" t="str">
        <x:v>CE2 — manejo de pragas sem evidência explícita de impacto ambiental</x:v>
      </x:c>
    </x:row>
    <x:row r="10" ht="58" customHeight="1">
      <x:c r="A10" t="n">
        <x:v>25</x:v>
      </x:c>
      <x:c r="B10" t="str">
        <x:v>R0105</x:v>
      </x:c>
      <x:c r="C10" s="8" t="str">
        <x:v>Project Prithvi: A Multi-Agent System for Geospatial Intelligence and Monsoon Impact Assessment</x:v>
      </x:c>
      <x:c r="D10" s="8" t="str">
        <x:v>maybe</x:v>
      </x:c>
      <x:c r="E10" s="8" t="str"/>
      <x:c r="F10" s="8" t="str">
        <x:v>include</x:v>
      </x:c>
      <x:c r="G10" s="8" t="str"/>
      <x:c r="H10" s="14" t="str">
        <x:v>DIVERGÊNCIA NA DECISÃO</x:v>
      </x:c>
      <x:c r="I10" s="8" t="str">
        <x:v>CE4 — objetivo climático evidente, mas resultados de validação não claros</x:v>
      </x:c>
    </x:row>
    <x:row r="11" ht="58" customHeight="1">
      <x:c r="A11" t="n">
        <x:v>28</x:v>
      </x:c>
      <x:c r="B11" t="str">
        <x:v>R0069</x:v>
      </x:c>
      <x:c r="C11" s="8" t="str">
        <x:v>AI Agent for Smart Indoor Environment Management</x:v>
      </x:c>
      <x:c r="D11" s="8" t="str">
        <x:v>exclude</x:v>
      </x:c>
      <x:c r="E11" s="8" t="str">
        <x:v>CE2</x:v>
      </x:c>
      <x:c r="F11" s="8" t="str">
        <x:v>maybe</x:v>
      </x:c>
      <x:c r="G11" s="8" t="str"/>
      <x:c r="H11" s="14" t="str">
        <x:v>DIVERGÊNCIA NA DECISÃO</x:v>
      </x:c>
      <x:c r="I11" s="8" t="str">
        <x:v>CE2 — controle interno do edifício sem objetivo ambiental demonstrado</x:v>
      </x:c>
    </x:row>
    <x:row r="12" ht="58" customHeight="1">
      <x:c r="A12" t="n">
        <x:v>29</x:v>
      </x:c>
      <x:c r="B12" t="str">
        <x:v>R0037</x:v>
      </x:c>
      <x:c r="C12" s="8" t="str">
        <x:v>SafeAuto: Knowledge-Enhanced Safe Autonomous Driving with Multimodal Foundation Models</x:v>
      </x:c>
      <x:c r="D12" s="8" t="str">
        <x:v>exclude</x:v>
      </x:c>
      <x:c r="E12" s="8" t="str">
        <x:v>CE2</x:v>
      </x:c>
      <x:c r="F12" s="8" t="str">
        <x:v>maybe</x:v>
      </x:c>
      <x:c r="G12" s="8" t="str"/>
      <x:c r="H12" s="14" t="str">
        <x:v>DIVERGÊNCIA NA DECISÃO</x:v>
      </x:c>
      <x:c r="I12" s="8" t="str">
        <x:v>CE2 — environment como cenário de navegação, não meio ambiente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12" hidden="0" customWidth="1"/>
  </x:cols>
  <x:sheetData>
    <x:row r="1" ht="28" customHeight="1">
      <x:c r="A1" s="4" t="str">
        <x:v>TÓPICO</x:v>
      </x:c>
      <x:c r="B1" s="4" t="str">
        <x:v>NOTA</x:v>
      </x:c>
    </x:row>
    <x:row r="2" ht="55" customHeight="1">
      <x:c r="A2" s="8" t="str">
        <x:v>PROVENIÊNCIA</x:v>
      </x:c>
      <x:c r="B2" s="8" t="str">
        <x:v>Planilha piloto de 30 artigos preenchida e gabarito das sugestões Qwen3:4B, recebidos em 14/10/2026.</x:v>
      </x:c>
    </x:row>
    <x:row r="3" ht="55" customHeight="1">
      <x:c r="A3" s="8" t="str">
        <x:v>AMOSTRA</x:v>
      </x:c>
      <x:c r="B3" s="8" t="str">
        <x:v>30 artigos: 10 Qwen include, 10 exclude, 10 maybe. Seleção intencional/estratificada: NÃO representa a proporção real dos 539 registros.</x:v>
      </x:c>
    </x:row>
    <x:row r="4" ht="55" customHeight="1">
      <x:c r="A4" s="8" t="str">
        <x:v>PREENCHIMENTO</x:v>
      </x:c>
      <x:c r="B4" s="8" t="str">
        <x:v>As decisões registradas na planilha foram elaboradas com assistência do ChatGPT durante a conversa. NÃO rotular como triagem humana independente/cega.</x:v>
      </x:c>
    </x:row>
    <x:row r="5" ht="55" customHeight="1">
      <x:c r="A5" s="8" t="str">
        <x:v>TEMPO DE TRIAGEM</x:v>
      </x:c>
      <x:c r="B5" s="8" t="str">
        <x:v>Coluna TEMPO (s) vazia nos 30 registros: não é possível estimar o tempo de revisão observado.</x:v>
      </x:c>
    </x:row>
    <x:row r="6" ht="55" customHeight="1">
      <x:c r="A6" s="8" t="str">
        <x:v>RESULTADO</x:v>
      </x:c>
      <x:c r="B6" s="8" t="str">
        <x:v>20/30 decisões concordantes (66,7%). Cohen kappa nominal descritivo: 0,50; interpretação limitada pelo desenho de amostragem e falta de independência.</x:v>
      </x:c>
    </x:row>
    <x:row r="7" ht="55" customHeight="1">
      <x:c r="A7" s="8" t="str">
        <x:v>DISCORDÂNCIAS</x:v>
      </x:c>
      <x:c r="B7" s="8" t="str">
        <x:v>10 decisões divergentes; 1 diferença adicional apenas no código CE principal (R0280).</x:v>
      </x:c>
    </x:row>
    <x:row r="8" ht="55" customHeight="1">
      <x:c r="A8" s="8" t="str">
        <x:v>RISCO DE FALSOS NEGATIVOS</x:v>
      </x:c>
      <x:c r="B8" s="8" t="str">
        <x:v>Na amostra, nenhuma exclusão sugerida pelo Qwen foi revertida; isso NÃO comprova ausência de falsos negativos no conjunto geral.</x:v>
      </x:c>
    </x:row>
    <x:row r="9" ht="55" customHeight="1">
      <x:c r="A9" s="8" t="str">
        <x:v>AÇÕES RECOMENDADAS</x:v>
      </x:c>
      <x:c r="B9" s="8" t="str">
        <x:v>Adjudicar 11 pendências; realizar uma nova avaliação verdadeiramente independente, especialmente para exclusões CE2, antes de considerar automação de exclusões.</x:v>
      </x:c>
    </x:row>
    <x:row r="10" ht="55" customHeight="1">
      <x:c r="A10" s="8" t="str">
        <x:v>REGISTRO OFICIAL</x:v>
      </x:c>
      <x:c r="B10" s="8" t="str">
        <x:v>Não houve edição em screening/decision_log.csv. Decisões registradas aqui não se tornam automaticamente oficiais.</x:v>
      </x:c>
    </x:row>
    <x:row r="11" ht="55" customHeight="1">
      <x:c r="A11" s="8" t="str">
        <x:v>ABREVIAÇÕES</x:v>
      </x:c>
      <x:c r="B11" s="8" t="str">
        <x:v>include = prossegue para texto completo; exclude = inelegível por título/resumo; maybe = necessita esclarecimento.</x:v>
      </x:c>
    </x:row>
  </x:sheetData>
  <x:pageMargins left="0.7" right="0.7" top="0.75" bottom="0.75" header="0.3" footer="0.3"/>
</x:worksheet>
</file>